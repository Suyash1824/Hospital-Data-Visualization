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4SF24CI172.POWEBI\"/>
    </mc:Choice>
  </mc:AlternateContent>
  <xr:revisionPtr revIDLastSave="0" documentId="8_{65C6B3A6-9511-4637-95F7-9FB4523FDE9D}" xr6:coauthVersionLast="47" xr6:coauthVersionMax="47" xr10:uidLastSave="{00000000-0000-0000-0000-000000000000}"/>
  <bookViews>
    <workbookView xWindow="-108" yWindow="-108" windowWidth="23256" windowHeight="13176" activeTab="1" xr2:uid="{5A0C7F20-FAB8-4495-9A1E-606C740586AD}"/>
  </bookViews>
  <sheets>
    <sheet name="Sheet3" sheetId="4" r:id="rId1"/>
    <sheet name="Main Specialty Edited (hosp-epi" sheetId="1" r:id="rId2"/>
  </sheets>
  <definedNames>
    <definedName name="_xlnm._FilterDatabase" localSheetId="1" hidden="1">'Main Specialty Edited (hosp-epi'!$A$1:$M$87</definedName>
  </definedNames>
  <calcPr calcId="0"/>
  <pivotCaches>
    <pivotCache cacheId="14" r:id="rId3"/>
  </pivotCaches>
</workbook>
</file>

<file path=xl/calcChain.xml><?xml version="1.0" encoding="utf-8"?>
<calcChain xmlns="http://schemas.openxmlformats.org/spreadsheetml/2006/main">
  <c r="J44" i="1" l="1"/>
  <c r="J43" i="1"/>
  <c r="I33" i="1"/>
  <c r="J8" i="1"/>
</calcChain>
</file>

<file path=xl/sharedStrings.xml><?xml version="1.0" encoding="utf-8"?>
<sst xmlns="http://schemas.openxmlformats.org/spreadsheetml/2006/main" count="110" uniqueCount="105">
  <si>
    <t>Main Speciality</t>
  </si>
  <si>
    <t>Admissions</t>
  </si>
  <si>
    <t>Emergency</t>
  </si>
  <si>
    <t>Female</t>
  </si>
  <si>
    <t>Finished consultant episodes</t>
  </si>
  <si>
    <t>Gender Unknown</t>
  </si>
  <si>
    <t>Male</t>
  </si>
  <si>
    <t>Mean age</t>
  </si>
  <si>
    <t>Mean length of stay</t>
  </si>
  <si>
    <t>Mean time waited</t>
  </si>
  <si>
    <t>Other Admission Method</t>
  </si>
  <si>
    <t>Planned</t>
  </si>
  <si>
    <t>Waiting list</t>
  </si>
  <si>
    <t>Total</t>
  </si>
  <si>
    <t>General Surgery</t>
  </si>
  <si>
    <t>Urology</t>
  </si>
  <si>
    <t>Trauma &amp; Orthopaedics</t>
  </si>
  <si>
    <t>Ear, Nose &amp; Throat (ENT)</t>
  </si>
  <si>
    <t>Ophthalmology</t>
  </si>
  <si>
    <t>Oral Surgery</t>
  </si>
  <si>
    <t>Restorative Dentistry</t>
  </si>
  <si>
    <t>Paediatric Dentistry</t>
  </si>
  <si>
    <t>Orthodontics</t>
  </si>
  <si>
    <t>Oral &amp; Maxillo Facial Surgery</t>
  </si>
  <si>
    <t>Endodontics</t>
  </si>
  <si>
    <t>Periodontics</t>
  </si>
  <si>
    <t>Prosthodontics</t>
  </si>
  <si>
    <t>Surgical Dentistry</t>
  </si>
  <si>
    <t>Neurosurgery</t>
  </si>
  <si>
    <t>Plastic Surgery</t>
  </si>
  <si>
    <t>Cardiothoracic Surgery</t>
  </si>
  <si>
    <t>Paediatric Surgery</t>
  </si>
  <si>
    <t>Anaesthetics</t>
  </si>
  <si>
    <t>Accident &amp; Emergency (A&amp;E)</t>
  </si>
  <si>
    <t>Critical Care Medicine</t>
  </si>
  <si>
    <t>Non-UK Provider; specialty function not known, treatment mainly surgical</t>
  </si>
  <si>
    <t>General Medicine</t>
  </si>
  <si>
    <t>Gastroenterology</t>
  </si>
  <si>
    <t>Endocrinology</t>
  </si>
  <si>
    <t>Clinical Haematology</t>
  </si>
  <si>
    <t>Clinical Physiology</t>
  </si>
  <si>
    <t>Clinical Pharmacology</t>
  </si>
  <si>
    <t>Audiological Medicine</t>
  </si>
  <si>
    <t>Clinical Genetics</t>
  </si>
  <si>
    <t>Clinical Immunology &amp; Allergy</t>
  </si>
  <si>
    <t>Rehabilitation</t>
  </si>
  <si>
    <t>Palliative Medicine</t>
  </si>
  <si>
    <t>Cardiology</t>
  </si>
  <si>
    <t>Paediatric Cardiology</t>
  </si>
  <si>
    <t>Gynaecology</t>
  </si>
  <si>
    <t>Midwife episode</t>
  </si>
  <si>
    <t>Adult Mental Illness</t>
  </si>
  <si>
    <t>Forensic Psychiatry</t>
  </si>
  <si>
    <t>Sports &amp; Exercise Medicine</t>
  </si>
  <si>
    <t>Acute Internal Medicine</t>
  </si>
  <si>
    <t>Dermatology</t>
  </si>
  <si>
    <t>Respiratory Medicine (Thoracic Medicine)</t>
  </si>
  <si>
    <t>Infectious Diseases</t>
  </si>
  <si>
    <t>Tropical Medicine</t>
  </si>
  <si>
    <t>Genitourinary Medicine</t>
  </si>
  <si>
    <t>Nephrology</t>
  </si>
  <si>
    <t>Medical Oncology</t>
  </si>
  <si>
    <t>Nuclear Medicine</t>
  </si>
  <si>
    <t>Neurology</t>
  </si>
  <si>
    <t>Clinical Neuro-physiology</t>
  </si>
  <si>
    <t>Rheumatology</t>
  </si>
  <si>
    <t>Paediatrics</t>
  </si>
  <si>
    <t>Paediatric Neurology</t>
  </si>
  <si>
    <t>Geriatric Medicine</t>
  </si>
  <si>
    <t>Dental Medicine Specialties</t>
  </si>
  <si>
    <t>Special Care Dentistry</t>
  </si>
  <si>
    <t>Medical Ophthalmology</t>
  </si>
  <si>
    <t>Obstetrics</t>
  </si>
  <si>
    <t>Non-UK Provider; specialty function not known, treatment mainly medical</t>
  </si>
  <si>
    <t>General Medical Practice</t>
  </si>
  <si>
    <t>General Dental Practice</t>
  </si>
  <si>
    <t>Learning Disability</t>
  </si>
  <si>
    <t>Child &amp; Adolescent Psychiatry</t>
  </si>
  <si>
    <t>Psychotherapy</t>
  </si>
  <si>
    <t>Old Age Psychiatry</t>
  </si>
  <si>
    <t>Clinical Oncology (previously Radiotherapy)</t>
  </si>
  <si>
    <t>Radiology</t>
  </si>
  <si>
    <t>General Pathology</t>
  </si>
  <si>
    <t>Blood Transfusion</t>
  </si>
  <si>
    <t>Chemical Pathology</t>
  </si>
  <si>
    <t>Haematology</t>
  </si>
  <si>
    <t>Histopathology</t>
  </si>
  <si>
    <t>Immunopathology</t>
  </si>
  <si>
    <t>Medical Microbiology &amp; Virology</t>
  </si>
  <si>
    <t>Medical Microbiology (Microbiology &amp; Bacteriology)</t>
  </si>
  <si>
    <t>Medical Virology</t>
  </si>
  <si>
    <t>Community Medicine</t>
  </si>
  <si>
    <t>Occupational Medicine</t>
  </si>
  <si>
    <t>Community Health Services Dental</t>
  </si>
  <si>
    <t>Public Health Medicine</t>
  </si>
  <si>
    <t>Public Health Dental</t>
  </si>
  <si>
    <t>Nursing episode</t>
  </si>
  <si>
    <t>Allied Health Professional Episode</t>
  </si>
  <si>
    <t>Not Known</t>
  </si>
  <si>
    <t>Sum of Admissions</t>
  </si>
  <si>
    <t>Row Labels</t>
  </si>
  <si>
    <t>(blank)</t>
  </si>
  <si>
    <t>Grand Total</t>
  </si>
  <si>
    <t>Sum of Finished consultant episodes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</si>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</sst>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64" formatCode="0.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[Main Specialty Edited (hosp-epis-stat-admi-main-spec-2019-20-tab)_Main Specialty Edited.xlsx]Sheet3!PivotTable4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Admissions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Sheet3!$A$4:$A$90</c:f>
              <c:strCach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28</c:v>
                </c:pt>
                <c:pt idx="6">
                  <c:v>47</c:v>
                </c:pt>
                <c:pt idx="7">
                  <c:v>51</c:v>
                </c:pt>
                <c:pt idx="8">
                  <c:v>73</c:v>
                </c:pt>
                <c:pt idx="9">
                  <c:v>81</c:v>
                </c:pt>
                <c:pt idx="10">
                  <c:v>106</c:v>
                </c:pt>
                <c:pt idx="11">
                  <c:v>115</c:v>
                </c:pt>
                <c:pt idx="12">
                  <c:v>139</c:v>
                </c:pt>
                <c:pt idx="13">
                  <c:v>143</c:v>
                </c:pt>
                <c:pt idx="14">
                  <c:v>144</c:v>
                </c:pt>
                <c:pt idx="15">
                  <c:v>145</c:v>
                </c:pt>
                <c:pt idx="16">
                  <c:v>147</c:v>
                </c:pt>
                <c:pt idx="17">
                  <c:v>155</c:v>
                </c:pt>
                <c:pt idx="18">
                  <c:v>209</c:v>
                </c:pt>
                <c:pt idx="19">
                  <c:v>222</c:v>
                </c:pt>
                <c:pt idx="20">
                  <c:v>254</c:v>
                </c:pt>
                <c:pt idx="21">
                  <c:v>321</c:v>
                </c:pt>
                <c:pt idx="22">
                  <c:v>388</c:v>
                </c:pt>
                <c:pt idx="23">
                  <c:v>626</c:v>
                </c:pt>
                <c:pt idx="24">
                  <c:v>768</c:v>
                </c:pt>
                <c:pt idx="25">
                  <c:v>902</c:v>
                </c:pt>
                <c:pt idx="26">
                  <c:v>1255</c:v>
                </c:pt>
                <c:pt idx="27">
                  <c:v>1342</c:v>
                </c:pt>
                <c:pt idx="28">
                  <c:v>1416</c:v>
                </c:pt>
                <c:pt idx="29">
                  <c:v>1449</c:v>
                </c:pt>
                <c:pt idx="30">
                  <c:v>1781</c:v>
                </c:pt>
                <c:pt idx="31">
                  <c:v>1918</c:v>
                </c:pt>
                <c:pt idx="32">
                  <c:v>1954</c:v>
                </c:pt>
                <c:pt idx="33">
                  <c:v>2056</c:v>
                </c:pt>
                <c:pt idx="34">
                  <c:v>2125</c:v>
                </c:pt>
                <c:pt idx="35">
                  <c:v>2250</c:v>
                </c:pt>
                <c:pt idx="36">
                  <c:v>5126</c:v>
                </c:pt>
                <c:pt idx="37">
                  <c:v>5185</c:v>
                </c:pt>
                <c:pt idx="38">
                  <c:v>5225</c:v>
                </c:pt>
                <c:pt idx="39">
                  <c:v>5279</c:v>
                </c:pt>
                <c:pt idx="40">
                  <c:v>7233</c:v>
                </c:pt>
                <c:pt idx="41">
                  <c:v>7621</c:v>
                </c:pt>
                <c:pt idx="42">
                  <c:v>9897</c:v>
                </c:pt>
                <c:pt idx="43">
                  <c:v>12953</c:v>
                </c:pt>
                <c:pt idx="44">
                  <c:v>13466</c:v>
                </c:pt>
                <c:pt idx="45">
                  <c:v>14745</c:v>
                </c:pt>
                <c:pt idx="46">
                  <c:v>18347</c:v>
                </c:pt>
                <c:pt idx="47">
                  <c:v>20780</c:v>
                </c:pt>
                <c:pt idx="48">
                  <c:v>21798</c:v>
                </c:pt>
                <c:pt idx="49">
                  <c:v>22327</c:v>
                </c:pt>
                <c:pt idx="50">
                  <c:v>26413</c:v>
                </c:pt>
                <c:pt idx="51">
                  <c:v>26640</c:v>
                </c:pt>
                <c:pt idx="52">
                  <c:v>31000</c:v>
                </c:pt>
                <c:pt idx="53">
                  <c:v>35366</c:v>
                </c:pt>
                <c:pt idx="54">
                  <c:v>48886</c:v>
                </c:pt>
                <c:pt idx="55">
                  <c:v>51126</c:v>
                </c:pt>
                <c:pt idx="56">
                  <c:v>52071</c:v>
                </c:pt>
                <c:pt idx="57">
                  <c:v>72038</c:v>
                </c:pt>
                <c:pt idx="58">
                  <c:v>90145</c:v>
                </c:pt>
                <c:pt idx="59">
                  <c:v>99804</c:v>
                </c:pt>
                <c:pt idx="60">
                  <c:v>102753</c:v>
                </c:pt>
                <c:pt idx="61">
                  <c:v>119323</c:v>
                </c:pt>
                <c:pt idx="62">
                  <c:v>120846</c:v>
                </c:pt>
                <c:pt idx="63">
                  <c:v>124928</c:v>
                </c:pt>
                <c:pt idx="64">
                  <c:v>133274</c:v>
                </c:pt>
                <c:pt idx="65">
                  <c:v>135972</c:v>
                </c:pt>
                <c:pt idx="66">
                  <c:v>164117</c:v>
                </c:pt>
                <c:pt idx="67">
                  <c:v>188273</c:v>
                </c:pt>
                <c:pt idx="68">
                  <c:v>250707</c:v>
                </c:pt>
                <c:pt idx="69">
                  <c:v>252026</c:v>
                </c:pt>
                <c:pt idx="70">
                  <c:v>267274</c:v>
                </c:pt>
                <c:pt idx="71">
                  <c:v>278147</c:v>
                </c:pt>
                <c:pt idx="72">
                  <c:v>278886</c:v>
                </c:pt>
                <c:pt idx="73">
                  <c:v>351735</c:v>
                </c:pt>
                <c:pt idx="74">
                  <c:v>423619</c:v>
                </c:pt>
                <c:pt idx="75">
                  <c:v>429626</c:v>
                </c:pt>
                <c:pt idx="76">
                  <c:v>583672</c:v>
                </c:pt>
                <c:pt idx="77">
                  <c:v>626005</c:v>
                </c:pt>
                <c:pt idx="78">
                  <c:v>701736</c:v>
                </c:pt>
                <c:pt idx="79">
                  <c:v>735136</c:v>
                </c:pt>
                <c:pt idx="80">
                  <c:v>748006</c:v>
                </c:pt>
                <c:pt idx="81">
                  <c:v>768843</c:v>
                </c:pt>
                <c:pt idx="82">
                  <c:v>1086628</c:v>
                </c:pt>
                <c:pt idx="83">
                  <c:v>1806137</c:v>
                </c:pt>
                <c:pt idx="84">
                  <c:v>11403768</c:v>
                </c:pt>
                <c:pt idx="85">
                  <c:v>(blank)</c:v>
                </c:pt>
              </c:strCache>
            </c:strRef>
          </c:cat>
          <c:val>
            <c:numRef>
              <c:f>Sheet3!$B$4:$B$90</c:f>
              <c:numCache>
                <c:formatCode>General</c:formatCode>
                <c:ptCount val="86"/>
                <c:pt idx="0">
                  <c:v>0</c:v>
                </c:pt>
                <c:pt idx="1">
                  <c:v>2</c:v>
                </c:pt>
                <c:pt idx="2">
                  <c:v>14</c:v>
                </c:pt>
                <c:pt idx="3">
                  <c:v>9</c:v>
                </c:pt>
                <c:pt idx="4">
                  <c:v>12</c:v>
                </c:pt>
                <c:pt idx="5">
                  <c:v>62</c:v>
                </c:pt>
                <c:pt idx="6">
                  <c:v>68</c:v>
                </c:pt>
                <c:pt idx="7">
                  <c:v>30</c:v>
                </c:pt>
                <c:pt idx="8">
                  <c:v>177</c:v>
                </c:pt>
                <c:pt idx="9">
                  <c:v>184</c:v>
                </c:pt>
                <c:pt idx="10">
                  <c:v>531</c:v>
                </c:pt>
                <c:pt idx="11">
                  <c:v>165</c:v>
                </c:pt>
                <c:pt idx="12">
                  <c:v>81</c:v>
                </c:pt>
                <c:pt idx="13">
                  <c:v>258</c:v>
                </c:pt>
                <c:pt idx="14">
                  <c:v>77</c:v>
                </c:pt>
                <c:pt idx="15">
                  <c:v>200</c:v>
                </c:pt>
                <c:pt idx="16">
                  <c:v>305</c:v>
                </c:pt>
                <c:pt idx="17">
                  <c:v>170</c:v>
                </c:pt>
                <c:pt idx="18">
                  <c:v>459</c:v>
                </c:pt>
                <c:pt idx="19">
                  <c:v>486</c:v>
                </c:pt>
                <c:pt idx="20">
                  <c:v>421</c:v>
                </c:pt>
                <c:pt idx="21">
                  <c:v>515</c:v>
                </c:pt>
                <c:pt idx="22">
                  <c:v>548</c:v>
                </c:pt>
                <c:pt idx="23">
                  <c:v>1495</c:v>
                </c:pt>
                <c:pt idx="24">
                  <c:v>1109</c:v>
                </c:pt>
                <c:pt idx="25">
                  <c:v>1845</c:v>
                </c:pt>
                <c:pt idx="26">
                  <c:v>2522</c:v>
                </c:pt>
                <c:pt idx="27">
                  <c:v>2307</c:v>
                </c:pt>
                <c:pt idx="28">
                  <c:v>2486</c:v>
                </c:pt>
                <c:pt idx="29">
                  <c:v>2823</c:v>
                </c:pt>
                <c:pt idx="30">
                  <c:v>2255</c:v>
                </c:pt>
                <c:pt idx="31">
                  <c:v>2483</c:v>
                </c:pt>
                <c:pt idx="32">
                  <c:v>5297</c:v>
                </c:pt>
                <c:pt idx="33">
                  <c:v>3266</c:v>
                </c:pt>
                <c:pt idx="34">
                  <c:v>3765</c:v>
                </c:pt>
                <c:pt idx="35">
                  <c:v>1975</c:v>
                </c:pt>
                <c:pt idx="36">
                  <c:v>5703</c:v>
                </c:pt>
                <c:pt idx="37">
                  <c:v>5182</c:v>
                </c:pt>
                <c:pt idx="38">
                  <c:v>10845</c:v>
                </c:pt>
                <c:pt idx="39">
                  <c:v>8715</c:v>
                </c:pt>
                <c:pt idx="40">
                  <c:v>9623</c:v>
                </c:pt>
                <c:pt idx="41">
                  <c:v>13033</c:v>
                </c:pt>
                <c:pt idx="42">
                  <c:v>20952</c:v>
                </c:pt>
                <c:pt idx="43">
                  <c:v>17904</c:v>
                </c:pt>
                <c:pt idx="44">
                  <c:v>17491</c:v>
                </c:pt>
                <c:pt idx="45">
                  <c:v>27051</c:v>
                </c:pt>
                <c:pt idx="46">
                  <c:v>15025</c:v>
                </c:pt>
                <c:pt idx="47">
                  <c:v>55867</c:v>
                </c:pt>
                <c:pt idx="48">
                  <c:v>25300</c:v>
                </c:pt>
                <c:pt idx="49">
                  <c:v>24492</c:v>
                </c:pt>
                <c:pt idx="50">
                  <c:v>60775</c:v>
                </c:pt>
                <c:pt idx="51">
                  <c:v>58682</c:v>
                </c:pt>
                <c:pt idx="52">
                  <c:v>54041</c:v>
                </c:pt>
                <c:pt idx="53">
                  <c:v>54695</c:v>
                </c:pt>
                <c:pt idx="54">
                  <c:v>78216</c:v>
                </c:pt>
                <c:pt idx="55">
                  <c:v>86848</c:v>
                </c:pt>
                <c:pt idx="56">
                  <c:v>103285</c:v>
                </c:pt>
                <c:pt idx="57">
                  <c:v>148979</c:v>
                </c:pt>
                <c:pt idx="58">
                  <c:v>171969</c:v>
                </c:pt>
                <c:pt idx="59">
                  <c:v>149829</c:v>
                </c:pt>
                <c:pt idx="60">
                  <c:v>137792</c:v>
                </c:pt>
                <c:pt idx="61">
                  <c:v>263522</c:v>
                </c:pt>
                <c:pt idx="62">
                  <c:v>164098</c:v>
                </c:pt>
                <c:pt idx="63">
                  <c:v>183292</c:v>
                </c:pt>
                <c:pt idx="64">
                  <c:v>174028</c:v>
                </c:pt>
                <c:pt idx="65">
                  <c:v>155779</c:v>
                </c:pt>
                <c:pt idx="66">
                  <c:v>335277</c:v>
                </c:pt>
                <c:pt idx="67">
                  <c:v>655445</c:v>
                </c:pt>
                <c:pt idx="68">
                  <c:v>388654</c:v>
                </c:pt>
                <c:pt idx="69">
                  <c:v>409243</c:v>
                </c:pt>
                <c:pt idx="70">
                  <c:v>429253</c:v>
                </c:pt>
                <c:pt idx="71">
                  <c:v>299400</c:v>
                </c:pt>
                <c:pt idx="72">
                  <c:v>644822</c:v>
                </c:pt>
                <c:pt idx="73">
                  <c:v>348351</c:v>
                </c:pt>
                <c:pt idx="74">
                  <c:v>769227</c:v>
                </c:pt>
                <c:pt idx="75">
                  <c:v>776740</c:v>
                </c:pt>
                <c:pt idx="76">
                  <c:v>421087</c:v>
                </c:pt>
                <c:pt idx="77">
                  <c:v>1065766</c:v>
                </c:pt>
                <c:pt idx="78">
                  <c:v>1403182</c:v>
                </c:pt>
                <c:pt idx="79">
                  <c:v>717466</c:v>
                </c:pt>
                <c:pt idx="80">
                  <c:v>1224422</c:v>
                </c:pt>
                <c:pt idx="81">
                  <c:v>749446</c:v>
                </c:pt>
                <c:pt idx="82">
                  <c:v>1848911</c:v>
                </c:pt>
                <c:pt idx="83">
                  <c:v>2374451</c:v>
                </c:pt>
                <c:pt idx="84">
                  <c:v>17202558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4-40C2-8A44-707F5A50A53E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Finished consultant episodes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Sheet3!$A$4:$A$90</c:f>
              <c:strCach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28</c:v>
                </c:pt>
                <c:pt idx="6">
                  <c:v>47</c:v>
                </c:pt>
                <c:pt idx="7">
                  <c:v>51</c:v>
                </c:pt>
                <c:pt idx="8">
                  <c:v>73</c:v>
                </c:pt>
                <c:pt idx="9">
                  <c:v>81</c:v>
                </c:pt>
                <c:pt idx="10">
                  <c:v>106</c:v>
                </c:pt>
                <c:pt idx="11">
                  <c:v>115</c:v>
                </c:pt>
                <c:pt idx="12">
                  <c:v>139</c:v>
                </c:pt>
                <c:pt idx="13">
                  <c:v>143</c:v>
                </c:pt>
                <c:pt idx="14">
                  <c:v>144</c:v>
                </c:pt>
                <c:pt idx="15">
                  <c:v>145</c:v>
                </c:pt>
                <c:pt idx="16">
                  <c:v>147</c:v>
                </c:pt>
                <c:pt idx="17">
                  <c:v>155</c:v>
                </c:pt>
                <c:pt idx="18">
                  <c:v>209</c:v>
                </c:pt>
                <c:pt idx="19">
                  <c:v>222</c:v>
                </c:pt>
                <c:pt idx="20">
                  <c:v>254</c:v>
                </c:pt>
                <c:pt idx="21">
                  <c:v>321</c:v>
                </c:pt>
                <c:pt idx="22">
                  <c:v>388</c:v>
                </c:pt>
                <c:pt idx="23">
                  <c:v>626</c:v>
                </c:pt>
                <c:pt idx="24">
                  <c:v>768</c:v>
                </c:pt>
                <c:pt idx="25">
                  <c:v>902</c:v>
                </c:pt>
                <c:pt idx="26">
                  <c:v>1255</c:v>
                </c:pt>
                <c:pt idx="27">
                  <c:v>1342</c:v>
                </c:pt>
                <c:pt idx="28">
                  <c:v>1416</c:v>
                </c:pt>
                <c:pt idx="29">
                  <c:v>1449</c:v>
                </c:pt>
                <c:pt idx="30">
                  <c:v>1781</c:v>
                </c:pt>
                <c:pt idx="31">
                  <c:v>1918</c:v>
                </c:pt>
                <c:pt idx="32">
                  <c:v>1954</c:v>
                </c:pt>
                <c:pt idx="33">
                  <c:v>2056</c:v>
                </c:pt>
                <c:pt idx="34">
                  <c:v>2125</c:v>
                </c:pt>
                <c:pt idx="35">
                  <c:v>2250</c:v>
                </c:pt>
                <c:pt idx="36">
                  <c:v>5126</c:v>
                </c:pt>
                <c:pt idx="37">
                  <c:v>5185</c:v>
                </c:pt>
                <c:pt idx="38">
                  <c:v>5225</c:v>
                </c:pt>
                <c:pt idx="39">
                  <c:v>5279</c:v>
                </c:pt>
                <c:pt idx="40">
                  <c:v>7233</c:v>
                </c:pt>
                <c:pt idx="41">
                  <c:v>7621</c:v>
                </c:pt>
                <c:pt idx="42">
                  <c:v>9897</c:v>
                </c:pt>
                <c:pt idx="43">
                  <c:v>12953</c:v>
                </c:pt>
                <c:pt idx="44">
                  <c:v>13466</c:v>
                </c:pt>
                <c:pt idx="45">
                  <c:v>14745</c:v>
                </c:pt>
                <c:pt idx="46">
                  <c:v>18347</c:v>
                </c:pt>
                <c:pt idx="47">
                  <c:v>20780</c:v>
                </c:pt>
                <c:pt idx="48">
                  <c:v>21798</c:v>
                </c:pt>
                <c:pt idx="49">
                  <c:v>22327</c:v>
                </c:pt>
                <c:pt idx="50">
                  <c:v>26413</c:v>
                </c:pt>
                <c:pt idx="51">
                  <c:v>26640</c:v>
                </c:pt>
                <c:pt idx="52">
                  <c:v>31000</c:v>
                </c:pt>
                <c:pt idx="53">
                  <c:v>35366</c:v>
                </c:pt>
                <c:pt idx="54">
                  <c:v>48886</c:v>
                </c:pt>
                <c:pt idx="55">
                  <c:v>51126</c:v>
                </c:pt>
                <c:pt idx="56">
                  <c:v>52071</c:v>
                </c:pt>
                <c:pt idx="57">
                  <c:v>72038</c:v>
                </c:pt>
                <c:pt idx="58">
                  <c:v>90145</c:v>
                </c:pt>
                <c:pt idx="59">
                  <c:v>99804</c:v>
                </c:pt>
                <c:pt idx="60">
                  <c:v>102753</c:v>
                </c:pt>
                <c:pt idx="61">
                  <c:v>119323</c:v>
                </c:pt>
                <c:pt idx="62">
                  <c:v>120846</c:v>
                </c:pt>
                <c:pt idx="63">
                  <c:v>124928</c:v>
                </c:pt>
                <c:pt idx="64">
                  <c:v>133274</c:v>
                </c:pt>
                <c:pt idx="65">
                  <c:v>135972</c:v>
                </c:pt>
                <c:pt idx="66">
                  <c:v>164117</c:v>
                </c:pt>
                <c:pt idx="67">
                  <c:v>188273</c:v>
                </c:pt>
                <c:pt idx="68">
                  <c:v>250707</c:v>
                </c:pt>
                <c:pt idx="69">
                  <c:v>252026</c:v>
                </c:pt>
                <c:pt idx="70">
                  <c:v>267274</c:v>
                </c:pt>
                <c:pt idx="71">
                  <c:v>278147</c:v>
                </c:pt>
                <c:pt idx="72">
                  <c:v>278886</c:v>
                </c:pt>
                <c:pt idx="73">
                  <c:v>351735</c:v>
                </c:pt>
                <c:pt idx="74">
                  <c:v>423619</c:v>
                </c:pt>
                <c:pt idx="75">
                  <c:v>429626</c:v>
                </c:pt>
                <c:pt idx="76">
                  <c:v>583672</c:v>
                </c:pt>
                <c:pt idx="77">
                  <c:v>626005</c:v>
                </c:pt>
                <c:pt idx="78">
                  <c:v>701736</c:v>
                </c:pt>
                <c:pt idx="79">
                  <c:v>735136</c:v>
                </c:pt>
                <c:pt idx="80">
                  <c:v>748006</c:v>
                </c:pt>
                <c:pt idx="81">
                  <c:v>768843</c:v>
                </c:pt>
                <c:pt idx="82">
                  <c:v>1086628</c:v>
                </c:pt>
                <c:pt idx="83">
                  <c:v>1806137</c:v>
                </c:pt>
                <c:pt idx="84">
                  <c:v>11403768</c:v>
                </c:pt>
                <c:pt idx="85">
                  <c:v>(blank)</c:v>
                </c:pt>
              </c:strCache>
            </c:strRef>
          </c:cat>
          <c:val>
            <c:numRef>
              <c:f>Sheet3!$C$4:$C$90</c:f>
              <c:numCache>
                <c:formatCode>General</c:formatCode>
                <c:ptCount val="86"/>
                <c:pt idx="0">
                  <c:v>3</c:v>
                </c:pt>
                <c:pt idx="1">
                  <c:v>2</c:v>
                </c:pt>
                <c:pt idx="2">
                  <c:v>18</c:v>
                </c:pt>
                <c:pt idx="3">
                  <c:v>9</c:v>
                </c:pt>
                <c:pt idx="4">
                  <c:v>12</c:v>
                </c:pt>
                <c:pt idx="5">
                  <c:v>68</c:v>
                </c:pt>
                <c:pt idx="6">
                  <c:v>72</c:v>
                </c:pt>
                <c:pt idx="7">
                  <c:v>116</c:v>
                </c:pt>
                <c:pt idx="8">
                  <c:v>177</c:v>
                </c:pt>
                <c:pt idx="9">
                  <c:v>192</c:v>
                </c:pt>
                <c:pt idx="10">
                  <c:v>562</c:v>
                </c:pt>
                <c:pt idx="11">
                  <c:v>228</c:v>
                </c:pt>
                <c:pt idx="12">
                  <c:v>215</c:v>
                </c:pt>
                <c:pt idx="13">
                  <c:v>265</c:v>
                </c:pt>
                <c:pt idx="14">
                  <c:v>405</c:v>
                </c:pt>
                <c:pt idx="15">
                  <c:v>201</c:v>
                </c:pt>
                <c:pt idx="16">
                  <c:v>305</c:v>
                </c:pt>
                <c:pt idx="17">
                  <c:v>319</c:v>
                </c:pt>
                <c:pt idx="18">
                  <c:v>460</c:v>
                </c:pt>
                <c:pt idx="19">
                  <c:v>486</c:v>
                </c:pt>
                <c:pt idx="20">
                  <c:v>435</c:v>
                </c:pt>
                <c:pt idx="21">
                  <c:v>517</c:v>
                </c:pt>
                <c:pt idx="22">
                  <c:v>790</c:v>
                </c:pt>
                <c:pt idx="23">
                  <c:v>2807</c:v>
                </c:pt>
                <c:pt idx="24">
                  <c:v>1703</c:v>
                </c:pt>
                <c:pt idx="25">
                  <c:v>1847</c:v>
                </c:pt>
                <c:pt idx="26">
                  <c:v>2525</c:v>
                </c:pt>
                <c:pt idx="27">
                  <c:v>2497</c:v>
                </c:pt>
                <c:pt idx="28">
                  <c:v>2546</c:v>
                </c:pt>
                <c:pt idx="29">
                  <c:v>2887</c:v>
                </c:pt>
                <c:pt idx="30">
                  <c:v>2264</c:v>
                </c:pt>
                <c:pt idx="31">
                  <c:v>3094</c:v>
                </c:pt>
                <c:pt idx="32">
                  <c:v>5517</c:v>
                </c:pt>
                <c:pt idx="33">
                  <c:v>3274</c:v>
                </c:pt>
                <c:pt idx="34">
                  <c:v>3793</c:v>
                </c:pt>
                <c:pt idx="35">
                  <c:v>3775</c:v>
                </c:pt>
                <c:pt idx="36">
                  <c:v>10477</c:v>
                </c:pt>
                <c:pt idx="37">
                  <c:v>10157</c:v>
                </c:pt>
                <c:pt idx="38">
                  <c:v>11833</c:v>
                </c:pt>
                <c:pt idx="39">
                  <c:v>8725</c:v>
                </c:pt>
                <c:pt idx="40">
                  <c:v>13343</c:v>
                </c:pt>
                <c:pt idx="41">
                  <c:v>16469</c:v>
                </c:pt>
                <c:pt idx="42">
                  <c:v>20974</c:v>
                </c:pt>
                <c:pt idx="43">
                  <c:v>22295</c:v>
                </c:pt>
                <c:pt idx="44">
                  <c:v>23232</c:v>
                </c:pt>
                <c:pt idx="45">
                  <c:v>27193</c:v>
                </c:pt>
                <c:pt idx="46">
                  <c:v>41144</c:v>
                </c:pt>
                <c:pt idx="47">
                  <c:v>61608</c:v>
                </c:pt>
                <c:pt idx="48">
                  <c:v>42069</c:v>
                </c:pt>
                <c:pt idx="49">
                  <c:v>47476</c:v>
                </c:pt>
                <c:pt idx="50">
                  <c:v>77245</c:v>
                </c:pt>
                <c:pt idx="51">
                  <c:v>62661</c:v>
                </c:pt>
                <c:pt idx="52">
                  <c:v>57699</c:v>
                </c:pt>
                <c:pt idx="53">
                  <c:v>77048</c:v>
                </c:pt>
                <c:pt idx="54">
                  <c:v>92503</c:v>
                </c:pt>
                <c:pt idx="55">
                  <c:v>105004</c:v>
                </c:pt>
                <c:pt idx="56">
                  <c:v>105304</c:v>
                </c:pt>
                <c:pt idx="57">
                  <c:v>149838</c:v>
                </c:pt>
                <c:pt idx="58">
                  <c:v>174716</c:v>
                </c:pt>
                <c:pt idx="59">
                  <c:v>179545</c:v>
                </c:pt>
                <c:pt idx="60">
                  <c:v>222531</c:v>
                </c:pt>
                <c:pt idx="61">
                  <c:v>269455</c:v>
                </c:pt>
                <c:pt idx="62">
                  <c:v>230359</c:v>
                </c:pt>
                <c:pt idx="63">
                  <c:v>198696</c:v>
                </c:pt>
                <c:pt idx="64">
                  <c:v>191301</c:v>
                </c:pt>
                <c:pt idx="65">
                  <c:v>263015</c:v>
                </c:pt>
                <c:pt idx="66">
                  <c:v>346776</c:v>
                </c:pt>
                <c:pt idx="67">
                  <c:v>712016</c:v>
                </c:pt>
                <c:pt idx="68">
                  <c:v>400374</c:v>
                </c:pt>
                <c:pt idx="69">
                  <c:v>427425</c:v>
                </c:pt>
                <c:pt idx="70">
                  <c:v>707777</c:v>
                </c:pt>
                <c:pt idx="71">
                  <c:v>307213</c:v>
                </c:pt>
                <c:pt idx="72">
                  <c:v>672073</c:v>
                </c:pt>
                <c:pt idx="73">
                  <c:v>690160</c:v>
                </c:pt>
                <c:pt idx="74">
                  <c:v>784586</c:v>
                </c:pt>
                <c:pt idx="75">
                  <c:v>782876</c:v>
                </c:pt>
                <c:pt idx="76">
                  <c:v>1044791</c:v>
                </c:pt>
                <c:pt idx="77">
                  <c:v>1163609</c:v>
                </c:pt>
                <c:pt idx="78">
                  <c:v>1500564</c:v>
                </c:pt>
                <c:pt idx="79">
                  <c:v>749276</c:v>
                </c:pt>
                <c:pt idx="80">
                  <c:v>1488192</c:v>
                </c:pt>
                <c:pt idx="81">
                  <c:v>774035</c:v>
                </c:pt>
                <c:pt idx="82">
                  <c:v>2051633</c:v>
                </c:pt>
                <c:pt idx="83">
                  <c:v>3450599</c:v>
                </c:pt>
                <c:pt idx="84">
                  <c:v>20912276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4-40C2-8A44-707F5A50A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867839"/>
        <c:axId val="1984868799"/>
      </c:barChart>
      <c:catAx>
        <c:axId val="198486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68799"/>
        <c:crosses val="autoZero"/>
        <c:auto val="1"/>
        <c:lblAlgn val="ctr"/>
        <c:lblOffset val="100"/>
        <c:noMultiLvlLbl val="0"/>
      </c:catAx>
      <c:valAx>
        <c:axId val="198486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6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4</xdr:row>
      <xdr:rowOff>91440</xdr:rowOff>
    </xdr:from>
    <xdr:to>
      <xdr:col>12</xdr:col>
      <xdr:colOff>571500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CCDE7D-B617-7EAD-FA07-4AC2B7C7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" refreshedDate="46009.994701388889" createdVersion="8" refreshedVersion="8" minRefreshableVersion="3" recordCount="89" xr:uid="{16DE66FD-AB6C-426B-A283-B8CE10B0F82A}">
  <cacheSource type="worksheet">
    <worksheetSource ref="A1:N1048576" sheet="Main Specialty Edited (hosp-epi"/>
  </cacheSource>
  <cacheFields count="14">
    <cacheField name="Main Speciality" numFmtId="0">
      <sharedItems containsBlank="1"/>
    </cacheField>
    <cacheField name="Admissions" numFmtId="0">
      <sharedItems containsString="0" containsBlank="1" containsNumber="1" containsInteger="1" minValue="0" maxValue="17202558"/>
    </cacheField>
    <cacheField name="Emergency" numFmtId="0">
      <sharedItems containsString="0" containsBlank="1" containsNumber="1" containsInteger="1" minValue="0" maxValue="6509586"/>
    </cacheField>
    <cacheField name="Female" numFmtId="0">
      <sharedItems containsString="0" containsBlank="1" containsNumber="1" containsInteger="1" minValue="0" maxValue="11403768" count="86">
        <n v="423619"/>
        <n v="120846"/>
        <n v="35366"/>
        <n v="13466"/>
        <n v="124928"/>
        <n v="73"/>
        <n v="2"/>
        <n v="267274"/>
        <n v="26413"/>
        <n v="1416"/>
        <n v="1918"/>
        <n v="81"/>
        <n v="278886"/>
        <n v="14745"/>
        <n v="1449"/>
        <n v="252026"/>
        <n v="5185"/>
        <n v="28"/>
        <n v="1255"/>
        <n v="2250"/>
        <n v="18347"/>
        <n v="2125"/>
        <n v="72038"/>
        <n v="164117"/>
        <n v="135972"/>
        <n v="115"/>
        <n v="626"/>
        <n v="748006"/>
        <n v="209"/>
        <n v="12953"/>
        <n v="1806137"/>
        <n v="7"/>
        <n v="1086628"/>
        <n v="768"/>
        <n v="583672"/>
        <n v="768843"/>
        <n v="26640"/>
        <n v="143"/>
        <n v="2056"/>
        <n v="22327"/>
        <n v="1954"/>
        <n v="155"/>
        <n v="51"/>
        <n v="250707"/>
        <n v="47"/>
        <n v="0"/>
        <n v="278147"/>
        <n v="102753"/>
        <n v="99804"/>
        <n v="51126"/>
        <n v="388"/>
        <n v="139"/>
        <n v="1342"/>
        <n v="1781"/>
        <n v="31000"/>
        <n v="735136"/>
        <n v="7233"/>
        <n v="429626"/>
        <n v="52071"/>
        <n v="90145"/>
        <n v="254"/>
        <n v="7621"/>
        <n v="9897"/>
        <n v="5225"/>
        <n v="20780"/>
        <n v="701736"/>
        <n v="5126"/>
        <n v="321"/>
        <n v="119323"/>
        <n v="6"/>
        <n v="145"/>
        <n v="222"/>
        <n v="106"/>
        <n v="48886"/>
        <n v="21798"/>
        <n v="351735"/>
        <n v="5279"/>
        <n v="133274"/>
        <n v="902"/>
        <n v="1"/>
        <n v="147"/>
        <n v="11403768"/>
        <n v="626005"/>
        <n v="144"/>
        <n v="188273"/>
        <m/>
      </sharedItems>
    </cacheField>
    <cacheField name="Finished consultant episodes" numFmtId="0">
      <sharedItems containsString="0" containsBlank="1" containsNumber="1" containsInteger="1" minValue="2" maxValue="20912276"/>
    </cacheField>
    <cacheField name="Gender Unknown" numFmtId="0">
      <sharedItems containsString="0" containsBlank="1" containsNumber="1" containsInteger="1" minValue="0" maxValue="10014"/>
    </cacheField>
    <cacheField name="Male" numFmtId="0">
      <sharedItems containsString="0" containsBlank="1" containsNumber="1" containsInteger="1" minValue="1" maxValue="9498494"/>
    </cacheField>
    <cacheField name="Mean age" numFmtId="1">
      <sharedItems containsString="0" containsBlank="1" containsNumber="1" minValue="3.039093394" maxValue="80.792304389999998"/>
    </cacheField>
    <cacheField name="Mean length of stay" numFmtId="164">
      <sharedItems containsString="0" containsBlank="1" containsNumber="1" minValue="0" maxValue="372.89781019999998"/>
    </cacheField>
    <cacheField name="Mean time waited" numFmtId="2">
      <sharedItems containsString="0" containsBlank="1" containsNumber="1" minValue="5" maxValue="244.272988"/>
    </cacheField>
    <cacheField name="Other Admission Method" numFmtId="0">
      <sharedItems containsString="0" containsBlank="1" containsNumber="1" containsInteger="1" minValue="0" maxValue="1850874"/>
    </cacheField>
    <cacheField name="Planned" numFmtId="0">
      <sharedItems containsString="0" containsBlank="1" containsNumber="1" containsInteger="1" minValue="0" maxValue="2455895"/>
    </cacheField>
    <cacheField name="Waiting list" numFmtId="0">
      <sharedItems containsString="0" containsBlank="1" containsNumber="1" containsInteger="1" minValue="0" maxValue="6386203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Accident &amp; Emergency (A&amp;E)"/>
    <n v="769227"/>
    <n v="765012"/>
    <x v="0"/>
    <n v="784586"/>
    <n v="126"/>
    <n v="360841"/>
    <n v="55.240907300000003"/>
    <n v="0.40724535299999998"/>
    <n v="53.228017880000003"/>
    <n v="298"/>
    <n v="381"/>
    <n v="3536"/>
    <m/>
  </r>
  <r>
    <s v="Acute Internal Medicine"/>
    <n v="164098"/>
    <n v="158423"/>
    <x v="1"/>
    <n v="230359"/>
    <n v="18"/>
    <n v="109495"/>
    <n v="64.678279900000007"/>
    <n v="1.656461317"/>
    <n v="36.066666669999996"/>
    <n v="225"/>
    <n v="1816"/>
    <n v="3634"/>
    <m/>
  </r>
  <r>
    <s v="Adult Mental Illness"/>
    <n v="54695"/>
    <n v="40397"/>
    <x v="2"/>
    <n v="77048"/>
    <n v="62"/>
    <n v="41620"/>
    <n v="40.234351820000001"/>
    <n v="47.910641030000001"/>
    <n v="23.055555559999998"/>
    <n v="3673"/>
    <n v="7956"/>
    <n v="2669"/>
    <m/>
  </r>
  <r>
    <s v="Allied Health Professional Episode"/>
    <n v="17491"/>
    <n v="8220"/>
    <x v="3"/>
    <n v="23232"/>
    <n v="3"/>
    <n v="9763"/>
    <n v="58.392362980000001"/>
    <n v="10.678118"/>
    <n v="82.534331440000003"/>
    <n v="760"/>
    <n v="1504"/>
    <n v="7007"/>
    <m/>
  </r>
  <r>
    <s v="Anaesthetics"/>
    <n v="183292"/>
    <n v="9642"/>
    <x v="4"/>
    <n v="198696"/>
    <n v="143"/>
    <n v="73625"/>
    <n v="58.772965040000003"/>
    <n v="4.4366697559999997"/>
    <n v="136.6516412"/>
    <n v="633"/>
    <n v="43123"/>
    <n v="129894"/>
    <m/>
  </r>
  <r>
    <s v="Audiological Medicine"/>
    <n v="177"/>
    <n v="9"/>
    <x v="5"/>
    <n v="177"/>
    <n v="0"/>
    <n v="104"/>
    <n v="11.076011360000001"/>
    <n v="0.34482758600000002"/>
    <n v="47.987012989999997"/>
    <n v="1"/>
    <n v="55"/>
    <n v="112"/>
    <m/>
  </r>
  <r>
    <s v="Blood Transfusion"/>
    <n v="10"/>
    <n v="0"/>
    <x v="6"/>
    <n v="13"/>
    <n v="0"/>
    <n v="11"/>
    <n v="56.07692308"/>
    <n v="5.1428571429999996"/>
    <n v="82.534331440000003"/>
    <n v="0"/>
    <n v="4"/>
    <n v="6"/>
    <m/>
  </r>
  <r>
    <s v="Cardiology"/>
    <n v="429253"/>
    <n v="158256"/>
    <x v="7"/>
    <n v="707777"/>
    <n v="41"/>
    <n v="440462"/>
    <n v="67.774496799999994"/>
    <n v="5.4530761060000001"/>
    <n v="57.449019239999998"/>
    <n v="21344"/>
    <n v="30627"/>
    <n v="219026"/>
    <m/>
  </r>
  <r>
    <s v="Cardiothoracic Surgery"/>
    <n v="60775"/>
    <n v="9431"/>
    <x v="8"/>
    <n v="77245"/>
    <n v="2"/>
    <n v="50830"/>
    <n v="60.26864157"/>
    <n v="9.2467578859999993"/>
    <n v="50.221319489999999"/>
    <n v="6037"/>
    <n v="2198"/>
    <n v="43109"/>
    <m/>
  </r>
  <r>
    <s v="Chemical Pathology"/>
    <n v="2486"/>
    <n v="60"/>
    <x v="9"/>
    <n v="2546"/>
    <n v="0"/>
    <n v="1130"/>
    <n v="58.911962099999997"/>
    <n v="2.1549295769999999"/>
    <n v="70.302521010000007"/>
    <n v="0"/>
    <n v="2078"/>
    <n v="348"/>
    <m/>
  </r>
  <r>
    <s v="Child &amp; Adolescent Psychiatry"/>
    <n v="2483"/>
    <n v="965"/>
    <x v="10"/>
    <n v="3094"/>
    <n v="9"/>
    <n v="1167"/>
    <n v="18.39492813"/>
    <n v="56.026402640000001"/>
    <n v="5.9565217390000003"/>
    <n v="370"/>
    <n v="950"/>
    <n v="198"/>
    <m/>
  </r>
  <r>
    <s v="Clinical Genetics"/>
    <n v="184"/>
    <n v="22"/>
    <x v="11"/>
    <n v="192"/>
    <n v="0"/>
    <n v="111"/>
    <n v="43.122382199999997"/>
    <n v="3.6470588240000001"/>
    <n v="26.305555559999998"/>
    <n v="3"/>
    <n v="116"/>
    <n v="43"/>
    <m/>
  </r>
  <r>
    <s v="Clinical Haematology"/>
    <n v="644822"/>
    <n v="31748"/>
    <x v="12"/>
    <n v="672073"/>
    <n v="45"/>
    <n v="393142"/>
    <n v="62.326556920000002"/>
    <n v="5.802124579"/>
    <n v="26.076657699999998"/>
    <n v="1285"/>
    <n v="476070"/>
    <n v="135719"/>
    <m/>
  </r>
  <r>
    <s v="Clinical Immunology &amp; Allergy"/>
    <n v="27051"/>
    <n v="289"/>
    <x v="13"/>
    <n v="27193"/>
    <n v="1"/>
    <n v="12447"/>
    <n v="47.215869470000001"/>
    <n v="7.5342465750000001"/>
    <n v="72.895233910000002"/>
    <n v="29"/>
    <n v="20496"/>
    <n v="6237"/>
    <m/>
  </r>
  <r>
    <s v="Clinical Neuro-physiology"/>
    <n v="2823"/>
    <n v="31"/>
    <x v="14"/>
    <n v="2887"/>
    <n v="1"/>
    <n v="1437"/>
    <n v="22.612218210000002"/>
    <n v="2.9279437609999999"/>
    <n v="24.121794869999999"/>
    <n v="6"/>
    <n v="1300"/>
    <n v="1486"/>
    <m/>
  </r>
  <r>
    <s v="Clinical Oncology (previously Radiotherapy)"/>
    <n v="409243"/>
    <n v="33462"/>
    <x v="15"/>
    <n v="427425"/>
    <n v="12"/>
    <n v="175387"/>
    <n v="63.066144370000004"/>
    <n v="4.6614514959999998"/>
    <n v="11.618091570000001"/>
    <n v="341"/>
    <n v="306477"/>
    <n v="68963"/>
    <m/>
  </r>
  <r>
    <s v="Clinical Pharmacology"/>
    <n v="5182"/>
    <n v="4356"/>
    <x v="16"/>
    <n v="10157"/>
    <n v="0"/>
    <n v="4972"/>
    <n v="62.380548570000002"/>
    <n v="4.1774750230000004"/>
    <n v="10.873449129999999"/>
    <n v="7"/>
    <n v="359"/>
    <n v="460"/>
    <m/>
  </r>
  <r>
    <s v="Clinical Physiology"/>
    <n v="62"/>
    <n v="4"/>
    <x v="17"/>
    <n v="68"/>
    <n v="0"/>
    <n v="40"/>
    <n v="68.367647059999996"/>
    <n v="2.375"/>
    <n v="112.4"/>
    <n v="0"/>
    <n v="53"/>
    <n v="5"/>
    <m/>
  </r>
  <r>
    <s v="Community Health Services Dental"/>
    <n v="2522"/>
    <n v="3"/>
    <x v="18"/>
    <n v="2525"/>
    <n v="0"/>
    <n v="1270"/>
    <n v="11.127380949999999"/>
    <n v="0.167832168"/>
    <n v="35.889077049999997"/>
    <n v="0"/>
    <n v="151"/>
    <n v="2368"/>
    <m/>
  </r>
  <r>
    <s v="Community Medicine"/>
    <n v="1975"/>
    <n v="221"/>
    <x v="19"/>
    <n v="3775"/>
    <n v="0"/>
    <n v="1525"/>
    <n v="76.779176519999993"/>
    <n v="27.477589340000002"/>
    <n v="33.623693379999999"/>
    <n v="1354"/>
    <n v="44"/>
    <n v="356"/>
    <m/>
  </r>
  <r>
    <s v="Critical Care Medicine"/>
    <n v="15025"/>
    <n v="13339"/>
    <x v="20"/>
    <n v="41144"/>
    <n v="1"/>
    <n v="22796"/>
    <n v="54.086001600000003"/>
    <n v="6.7565558120000002"/>
    <n v="129.94705880000001"/>
    <n v="740"/>
    <n v="361"/>
    <n v="585"/>
    <m/>
  </r>
  <r>
    <s v="Dental Medicine Specialties"/>
    <n v="3765"/>
    <n v="25"/>
    <x v="21"/>
    <n v="3793"/>
    <n v="2"/>
    <n v="1666"/>
    <n v="24.68211921"/>
    <n v="1.040650407"/>
    <n v="30.333605550000001"/>
    <n v="2"/>
    <n v="542"/>
    <n v="3196"/>
    <m/>
  </r>
  <r>
    <s v="Dermatology"/>
    <n v="148979"/>
    <n v="1105"/>
    <x v="22"/>
    <n v="149838"/>
    <n v="13"/>
    <n v="77787"/>
    <n v="64.192358580000004"/>
    <n v="7.4864864860000004"/>
    <n v="52.181993869999999"/>
    <n v="300"/>
    <n v="11983"/>
    <n v="135591"/>
    <m/>
  </r>
  <r>
    <s v="Ear, Nose &amp; Throat (ENT)"/>
    <n v="335277"/>
    <n v="93016"/>
    <x v="23"/>
    <n v="346776"/>
    <n v="36"/>
    <n v="182623"/>
    <n v="38.989275839999998"/>
    <n v="1.8909878120000001"/>
    <n v="79.129902110000003"/>
    <n v="1262"/>
    <n v="8553"/>
    <n v="232446"/>
    <m/>
  </r>
  <r>
    <s v="Endocrinology"/>
    <n v="155779"/>
    <n v="117748"/>
    <x v="24"/>
    <n v="263015"/>
    <n v="265"/>
    <n v="126778"/>
    <n v="62.920585500000001"/>
    <n v="5.7076718130000001"/>
    <n v="42.475331400000002"/>
    <n v="386"/>
    <n v="18245"/>
    <n v="19400"/>
    <m/>
  </r>
  <r>
    <s v="Endodontics"/>
    <n v="165"/>
    <n v="160"/>
    <x v="25"/>
    <n v="228"/>
    <n v="0"/>
    <n v="113"/>
    <n v="54.40707965"/>
    <n v="4.2091503269999997"/>
    <n v="47.4"/>
    <n v="0"/>
    <n v="0"/>
    <n v="5"/>
    <m/>
  </r>
  <r>
    <s v="Forensic Psychiatry"/>
    <n v="1495"/>
    <n v="755"/>
    <x v="26"/>
    <n v="2807"/>
    <n v="0"/>
    <n v="2181"/>
    <n v="37.628191299999997"/>
    <n v="372.89781019999998"/>
    <n v="24.4"/>
    <n v="115"/>
    <n v="470"/>
    <n v="155"/>
    <m/>
  </r>
  <r>
    <s v="Gastroenterology"/>
    <n v="1224422"/>
    <n v="99272"/>
    <x v="27"/>
    <n v="1488192"/>
    <n v="113"/>
    <n v="740073"/>
    <n v="57.932599680000003"/>
    <n v="7.3328160320000002"/>
    <n v="33.746837339999999"/>
    <n v="1649"/>
    <n v="256836"/>
    <n v="866665"/>
    <m/>
  </r>
  <r>
    <s v="General Dental Practice"/>
    <n v="459"/>
    <n v="0"/>
    <x v="28"/>
    <n v="460"/>
    <n v="0"/>
    <n v="251"/>
    <n v="9.7108695649999994"/>
    <n v="0"/>
    <n v="50.628820959999999"/>
    <n v="0"/>
    <n v="1"/>
    <n v="458"/>
    <m/>
  </r>
  <r>
    <s v="General Medical Practice"/>
    <n v="17904"/>
    <n v="2911"/>
    <x v="29"/>
    <n v="22295"/>
    <n v="0"/>
    <n v="9342"/>
    <n v="80.792304389999998"/>
    <n v="21.760890660000001"/>
    <n v="61.05102041"/>
    <n v="10538"/>
    <n v="1926"/>
    <n v="2529"/>
    <m/>
  </r>
  <r>
    <s v="General Medicine"/>
    <n v="2374451"/>
    <n v="1910528"/>
    <x v="30"/>
    <n v="3450599"/>
    <n v="172"/>
    <n v="1644290"/>
    <n v="65.441200409999993"/>
    <n v="4.2048428490000003"/>
    <n v="31.089233409999999"/>
    <n v="17467"/>
    <n v="132009"/>
    <n v="314447"/>
    <m/>
  </r>
  <r>
    <s v="General Pathology"/>
    <n v="12"/>
    <n v="0"/>
    <x v="31"/>
    <n v="12"/>
    <n v="0"/>
    <n v="5"/>
    <n v="54.416666669999998"/>
    <n v="11.152236390000001"/>
    <n v="20.444444440000002"/>
    <n v="0"/>
    <n v="1"/>
    <n v="11"/>
    <m/>
  </r>
  <r>
    <s v="General Surgery"/>
    <n v="1848911"/>
    <n v="726012"/>
    <x v="32"/>
    <n v="2051633"/>
    <n v="184"/>
    <n v="964821"/>
    <n v="56.104570160000002"/>
    <n v="3.7567015010000002"/>
    <n v="50.846650339999997"/>
    <n v="4299"/>
    <n v="97960"/>
    <n v="1020640"/>
    <m/>
  </r>
  <r>
    <s v="Genitourinary Medicine"/>
    <n v="1109"/>
    <n v="168"/>
    <x v="33"/>
    <n v="1703"/>
    <n v="1"/>
    <n v="934"/>
    <n v="50.031042130000003"/>
    <n v="13.13501484"/>
    <n v="57.787037040000001"/>
    <n v="34"/>
    <n v="352"/>
    <n v="555"/>
    <m/>
  </r>
  <r>
    <s v="Geriatric Medicine"/>
    <n v="421087"/>
    <n v="387125"/>
    <x v="34"/>
    <n v="1044791"/>
    <n v="3162"/>
    <n v="457957"/>
    <n v="79.134609319999996"/>
    <n v="11.152236390000001"/>
    <n v="244.272988"/>
    <n v="13363"/>
    <n v="11490"/>
    <n v="9109"/>
    <m/>
  </r>
  <r>
    <s v="Gynaecology"/>
    <n v="749446"/>
    <n v="159773"/>
    <x v="35"/>
    <n v="774035"/>
    <n v="44"/>
    <n v="5148"/>
    <n v="36.264231510000002"/>
    <n v="1.576359168"/>
    <n v="62.626896860000002"/>
    <n v="277576"/>
    <n v="29873"/>
    <n v="282224"/>
    <m/>
  </r>
  <r>
    <s v="Haematology"/>
    <n v="58682"/>
    <n v="5112"/>
    <x v="36"/>
    <n v="62661"/>
    <n v="0"/>
    <n v="36021"/>
    <n v="59.085326500000001"/>
    <n v="7.473364245"/>
    <n v="21.93402261"/>
    <n v="304"/>
    <n v="34131"/>
    <n v="19135"/>
    <m/>
  </r>
  <r>
    <s v="Histopathology"/>
    <n v="258"/>
    <n v="55"/>
    <x v="37"/>
    <n v="265"/>
    <n v="0"/>
    <n v="122"/>
    <n v="61.098113210000001"/>
    <n v="21.270270270000001"/>
    <n v="14.4"/>
    <n v="1"/>
    <n v="6"/>
    <n v="196"/>
    <m/>
  </r>
  <r>
    <s v="Immunopathology"/>
    <n v="3266"/>
    <n v="17"/>
    <x v="38"/>
    <n v="3274"/>
    <n v="0"/>
    <n v="1218"/>
    <n v="52.144339619999997"/>
    <n v="5.848484848"/>
    <n v="54.694690270000002"/>
    <n v="0"/>
    <n v="2996"/>
    <n v="253"/>
    <m/>
  </r>
  <r>
    <s v="Infectious Diseases"/>
    <n v="24492"/>
    <n v="17854"/>
    <x v="39"/>
    <n v="47476"/>
    <n v="5"/>
    <n v="25144"/>
    <n v="59.236819089999997"/>
    <n v="6.9532539619999998"/>
    <n v="18.416666670000001"/>
    <n v="274"/>
    <n v="5356"/>
    <n v="1008"/>
    <m/>
  </r>
  <r>
    <s v="Learning Disability"/>
    <n v="5297"/>
    <n v="525"/>
    <x v="40"/>
    <n v="5517"/>
    <n v="371"/>
    <n v="3192"/>
    <n v="28.527299110000001"/>
    <n v="31.160353780000001"/>
    <n v="32.959459459999998"/>
    <n v="642"/>
    <n v="3041"/>
    <n v="1089"/>
    <m/>
  </r>
  <r>
    <s v="Medical Microbiology &amp; Virology"/>
    <n v="170"/>
    <n v="42"/>
    <x v="41"/>
    <n v="319"/>
    <n v="0"/>
    <n v="164"/>
    <n v="64.396666670000002"/>
    <n v="12.468085110000001"/>
    <n v="244.272988"/>
    <n v="0"/>
    <n v="105"/>
    <n v="23"/>
    <m/>
  </r>
  <r>
    <s v="Medical Microbiology (Microbiology &amp; Bacteriology)"/>
    <n v="30"/>
    <n v="22"/>
    <x v="42"/>
    <n v="116"/>
    <n v="0"/>
    <n v="65"/>
    <n v="57.542857140000002"/>
    <n v="9.0476190479999996"/>
    <n v="23"/>
    <n v="5"/>
    <n v="2"/>
    <n v="1"/>
    <m/>
  </r>
  <r>
    <s v="Medical Oncology"/>
    <n v="388654"/>
    <n v="36000"/>
    <x v="43"/>
    <n v="400374"/>
    <n v="10"/>
    <n v="149657"/>
    <n v="60.972558419999999"/>
    <n v="3.9979761310000002"/>
    <n v="19.851240950000001"/>
    <n v="850"/>
    <n v="272168"/>
    <n v="79636"/>
    <m/>
  </r>
  <r>
    <s v="Medical Ophthalmology"/>
    <n v="68"/>
    <n v="10"/>
    <x v="44"/>
    <n v="72"/>
    <n v="0"/>
    <n v="25"/>
    <n v="51.708333330000002"/>
    <n v="2.1666666669999999"/>
    <n v="39.625"/>
    <n v="0"/>
    <n v="30"/>
    <n v="28"/>
    <m/>
  </r>
  <r>
    <s v="Medical Virology"/>
    <n v="0"/>
    <n v="0"/>
    <x v="45"/>
    <n v="3"/>
    <n v="0"/>
    <n v="3"/>
    <m/>
    <n v="6.5"/>
    <n v="23"/>
    <n v="0"/>
    <n v="0"/>
    <n v="0"/>
    <m/>
  </r>
  <r>
    <s v="Midwife episode"/>
    <n v="299400"/>
    <n v="9192"/>
    <x v="46"/>
    <n v="307213"/>
    <n v="11"/>
    <n v="29055"/>
    <n v="23.839852759999999"/>
    <n v="1.030592095"/>
    <n v="17.407407410000001"/>
    <n v="289487"/>
    <n v="252"/>
    <n v="469"/>
    <m/>
  </r>
  <r>
    <s v="Nephrology"/>
    <n v="137792"/>
    <n v="73124"/>
    <x v="47"/>
    <n v="222531"/>
    <n v="7"/>
    <n v="119771"/>
    <n v="60.861916209999997"/>
    <n v="6.6668585409999999"/>
    <n v="36.278598860000002"/>
    <n v="2814"/>
    <n v="28789"/>
    <n v="33065"/>
    <m/>
  </r>
  <r>
    <s v="Neurology"/>
    <n v="149829"/>
    <n v="30926"/>
    <x v="48"/>
    <n v="179545"/>
    <n v="30"/>
    <n v="79711"/>
    <n v="52.952445640000001"/>
    <n v="9.7196392619999994"/>
    <n v="48.379477909999999"/>
    <n v="2089"/>
    <n v="66707"/>
    <n v="50107"/>
    <m/>
  </r>
  <r>
    <s v="Neurosurgery"/>
    <n v="86848"/>
    <n v="25047"/>
    <x v="49"/>
    <n v="105004"/>
    <n v="11"/>
    <n v="53867"/>
    <n v="50.469305910000003"/>
    <n v="7.5456937399999999"/>
    <n v="70.206568840000003"/>
    <n v="5088"/>
    <n v="7871"/>
    <n v="48842"/>
    <m/>
  </r>
  <r>
    <s v="Non-UK Provider; specialty function not known, treatment mainly medical"/>
    <n v="548"/>
    <n v="399"/>
    <x v="50"/>
    <n v="790"/>
    <n v="0"/>
    <n v="402"/>
    <n v="45.819598480000003"/>
    <n v="73.191198790000001"/>
    <n v="23"/>
    <n v="146"/>
    <n v="1"/>
    <n v="2"/>
    <m/>
  </r>
  <r>
    <s v="Non-UK Provider; specialty function not known, treatment mainly surgical"/>
    <n v="81"/>
    <n v="32"/>
    <x v="51"/>
    <n v="215"/>
    <n v="0"/>
    <n v="76"/>
    <n v="48.439252340000003"/>
    <n v="64.460732980000003"/>
    <n v="23"/>
    <n v="4"/>
    <n v="40"/>
    <n v="5"/>
    <m/>
  </r>
  <r>
    <s v="Not Known"/>
    <n v="2307"/>
    <n v="874"/>
    <x v="52"/>
    <n v="2497"/>
    <n v="2"/>
    <n v="1153"/>
    <n v="61.884435170000003"/>
    <n v="33.994724220000002"/>
    <n v="67.083333330000002"/>
    <n v="911"/>
    <n v="400"/>
    <n v="122"/>
    <m/>
  </r>
  <r>
    <s v="Nuclear Medicine"/>
    <n v="2255"/>
    <n v="8"/>
    <x v="53"/>
    <n v="2264"/>
    <n v="0"/>
    <n v="483"/>
    <n v="70.292219279999998"/>
    <n v="1.4337606839999999"/>
    <n v="21.1076555"/>
    <n v="2"/>
    <n v="1798"/>
    <n v="447"/>
    <m/>
  </r>
  <r>
    <s v="Nursing episode"/>
    <n v="54041"/>
    <n v="1471"/>
    <x v="54"/>
    <n v="57699"/>
    <n v="5"/>
    <n v="26694"/>
    <n v="59.023786919999999"/>
    <n v="18.513421180000002"/>
    <n v="26.33966509"/>
    <n v="3950"/>
    <n v="12617"/>
    <n v="36003"/>
    <m/>
  </r>
  <r>
    <s v="Obstetrics"/>
    <n v="717466"/>
    <n v="37190"/>
    <x v="55"/>
    <n v="749276"/>
    <n v="25"/>
    <n v="14115"/>
    <n v="29.726331559999998"/>
    <n v="1.618174397"/>
    <n v="57.29386023"/>
    <n v="626215"/>
    <n v="7398"/>
    <n v="46663"/>
    <m/>
  </r>
  <r>
    <s v="Occupational Medicine"/>
    <n v="4"/>
    <n v="0"/>
    <x v="6"/>
    <n v="5"/>
    <n v="0"/>
    <n v="3"/>
    <n v="44.466799999999999"/>
    <n v="8.5"/>
    <n v="23"/>
    <n v="1"/>
    <n v="0"/>
    <n v="3"/>
    <m/>
  </r>
  <r>
    <s v="Old Age Psychiatry"/>
    <n v="9623"/>
    <n v="5536"/>
    <x v="56"/>
    <n v="13343"/>
    <n v="4"/>
    <n v="6106"/>
    <n v="73.027611039999996"/>
    <n v="82.120540020000007"/>
    <n v="7"/>
    <n v="1206"/>
    <n v="2061"/>
    <n v="820"/>
    <m/>
  </r>
  <r>
    <s v="Ophthalmology"/>
    <n v="776740"/>
    <n v="16836"/>
    <x v="57"/>
    <n v="782876"/>
    <n v="3791"/>
    <n v="349459"/>
    <n v="70.765592269999999"/>
    <n v="1.3754263149999999"/>
    <n v="77.676207739999995"/>
    <n v="4044"/>
    <n v="110697"/>
    <n v="645163"/>
    <m/>
  </r>
  <r>
    <s v="Oral &amp; Maxillo Facial Surgery"/>
    <n v="103285"/>
    <n v="17433"/>
    <x v="58"/>
    <n v="105304"/>
    <n v="8"/>
    <n v="53225"/>
    <n v="42.839407739999999"/>
    <n v="1.9231287480000001"/>
    <n v="68.979177160000006"/>
    <n v="118"/>
    <n v="3205"/>
    <n v="82529"/>
    <m/>
  </r>
  <r>
    <s v="Oral Surgery"/>
    <n v="171969"/>
    <n v="13645"/>
    <x v="59"/>
    <n v="174716"/>
    <n v="81"/>
    <n v="84490"/>
    <n v="41.536791770000001"/>
    <n v="1.596183262"/>
    <n v="70.386674369999994"/>
    <n v="223"/>
    <n v="6796"/>
    <n v="151305"/>
    <m/>
  </r>
  <r>
    <s v="Orthodontics"/>
    <n v="421"/>
    <n v="35"/>
    <x v="60"/>
    <n v="435"/>
    <n v="0"/>
    <n v="181"/>
    <n v="20.83448276"/>
    <n v="0.76363636400000001"/>
    <n v="161.75073309999999"/>
    <n v="0"/>
    <n v="19"/>
    <n v="367"/>
    <m/>
  </r>
  <r>
    <s v="Paediatric Cardiology"/>
    <n v="13033"/>
    <n v="1935"/>
    <x v="61"/>
    <n v="16469"/>
    <n v="0"/>
    <n v="8848"/>
    <n v="7.6792391450000004"/>
    <n v="5.8181101479999997"/>
    <n v="68.808692039999997"/>
    <n v="1859"/>
    <n v="3167"/>
    <n v="6072"/>
    <m/>
  </r>
  <r>
    <s v="Paediatric Dentistry"/>
    <n v="20952"/>
    <n v="60"/>
    <x v="62"/>
    <n v="20974"/>
    <n v="8"/>
    <n v="11069"/>
    <n v="7.8356958759999999"/>
    <n v="0.96237864100000003"/>
    <n v="77.971010089999993"/>
    <n v="6"/>
    <n v="4593"/>
    <n v="16293"/>
    <m/>
  </r>
  <r>
    <s v="Paediatric Neurology"/>
    <n v="10845"/>
    <n v="1197"/>
    <x v="63"/>
    <n v="11833"/>
    <n v="2"/>
    <n v="6606"/>
    <n v="7.7167586210000003"/>
    <n v="6.4813139260000003"/>
    <n v="50.622919179999997"/>
    <n v="156"/>
    <n v="4715"/>
    <n v="4777"/>
    <m/>
  </r>
  <r>
    <s v="Paediatric Surgery"/>
    <n v="55867"/>
    <n v="16382"/>
    <x v="64"/>
    <n v="61608"/>
    <n v="1"/>
    <n v="40827"/>
    <n v="6.747989842"/>
    <n v="3.286552914"/>
    <n v="78.618262659999999"/>
    <n v="2579"/>
    <n v="6763"/>
    <n v="30143"/>
    <m/>
  </r>
  <r>
    <s v="Paediatrics"/>
    <n v="1403182"/>
    <n v="714407"/>
    <x v="65"/>
    <n v="1500564"/>
    <n v="382"/>
    <n v="798446"/>
    <n v="3.039093394"/>
    <n v="2.0355626739999999"/>
    <n v="41.300668109999997"/>
    <n v="526312"/>
    <n v="88367"/>
    <n v="74096"/>
    <m/>
  </r>
  <r>
    <s v="Palliative Medicine"/>
    <n v="5703"/>
    <n v="2650"/>
    <x v="66"/>
    <n v="10477"/>
    <n v="400"/>
    <n v="4951"/>
    <n v="71.885094710000004"/>
    <n v="17.55307912"/>
    <n v="18.276595749999998"/>
    <n v="380"/>
    <n v="2461"/>
    <n v="212"/>
    <m/>
  </r>
  <r>
    <s v="Periodontics"/>
    <n v="515"/>
    <n v="0"/>
    <x v="67"/>
    <n v="517"/>
    <n v="0"/>
    <n v="196"/>
    <n v="44.14951456"/>
    <n v="0.4"/>
    <n v="23"/>
    <n v="1"/>
    <n v="451"/>
    <n v="63"/>
    <m/>
  </r>
  <r>
    <s v="Plastic Surgery"/>
    <n v="263522"/>
    <n v="59421"/>
    <x v="68"/>
    <n v="269455"/>
    <n v="29"/>
    <n v="150103"/>
    <n v="50.78295877"/>
    <n v="2.2116466789999998"/>
    <n v="60.369697010000003"/>
    <n v="946"/>
    <n v="13852"/>
    <n v="189303"/>
    <m/>
  </r>
  <r>
    <s v="Prosthodontics"/>
    <n v="9"/>
    <n v="0"/>
    <x v="69"/>
    <n v="9"/>
    <n v="0"/>
    <n v="3"/>
    <n v="47"/>
    <m/>
    <n v="54.222222219999999"/>
    <n v="0"/>
    <n v="0"/>
    <n v="9"/>
    <m/>
  </r>
  <r>
    <s v="Psychotherapy"/>
    <n v="200"/>
    <n v="13"/>
    <x v="70"/>
    <n v="201"/>
    <n v="0"/>
    <n v="56"/>
    <n v="50.497512440000001"/>
    <n v="0.73333333300000003"/>
    <n v="5"/>
    <n v="1"/>
    <n v="82"/>
    <n v="104"/>
    <m/>
  </r>
  <r>
    <s v="Public Health Dental"/>
    <n v="486"/>
    <n v="9"/>
    <x v="71"/>
    <n v="486"/>
    <n v="0"/>
    <n v="264"/>
    <n v="10.81893004"/>
    <n v="0.52631578899999998"/>
    <n v="23.347732180000001"/>
    <n v="0"/>
    <n v="1"/>
    <n v="476"/>
    <m/>
  </r>
  <r>
    <s v="Public Health Medicine"/>
    <n v="531"/>
    <n v="0"/>
    <x v="72"/>
    <n v="562"/>
    <n v="0"/>
    <n v="456"/>
    <n v="52.485765129999997"/>
    <n v="35.655172409999999"/>
    <n v="71.447674419999998"/>
    <n v="183"/>
    <n v="4"/>
    <n v="344"/>
    <m/>
  </r>
  <r>
    <s v="Radiology"/>
    <n v="78216"/>
    <n v="1020"/>
    <x v="73"/>
    <n v="92503"/>
    <n v="8"/>
    <n v="43609"/>
    <n v="57.530534199999998"/>
    <n v="1.79492363"/>
    <n v="39.057287170000002"/>
    <n v="88"/>
    <n v="11080"/>
    <n v="66028"/>
    <m/>
  </r>
  <r>
    <s v="Rehabilitation"/>
    <n v="25300"/>
    <n v="8564"/>
    <x v="74"/>
    <n v="42069"/>
    <n v="215"/>
    <n v="20056"/>
    <n v="72.055546230000004"/>
    <n v="29.405107829999999"/>
    <n v="34.824705880000003"/>
    <n v="7175"/>
    <n v="5194"/>
    <n v="4367"/>
    <m/>
  </r>
  <r>
    <s v="Respiratory Medicine (Thoracic Medicine)"/>
    <n v="348351"/>
    <n v="217511"/>
    <x v="75"/>
    <n v="690160"/>
    <n v="23"/>
    <n v="338402"/>
    <n v="64.884507119999995"/>
    <n v="6.7339091030000002"/>
    <n v="20.475086189999999"/>
    <n v="1234"/>
    <n v="46767"/>
    <n v="82839"/>
    <m/>
  </r>
  <r>
    <s v="Restorative Dentistry"/>
    <n v="8715"/>
    <n v="45"/>
    <x v="76"/>
    <n v="8725"/>
    <n v="0"/>
    <n v="3446"/>
    <n v="38.710778329999997"/>
    <n v="1"/>
    <n v="76.432428040000005"/>
    <n v="7"/>
    <n v="1144"/>
    <n v="7519"/>
    <m/>
  </r>
  <r>
    <s v="Rheumatology"/>
    <n v="174028"/>
    <n v="24639"/>
    <x v="77"/>
    <n v="191301"/>
    <n v="12"/>
    <n v="58015"/>
    <n v="59.9114395"/>
    <n v="5.2108112120000003"/>
    <n v="65.995281219999995"/>
    <n v="281"/>
    <n v="98546"/>
    <n v="50562"/>
    <m/>
  </r>
  <r>
    <s v="Special Care Dentistry"/>
    <n v="1845"/>
    <n v="1"/>
    <x v="78"/>
    <n v="1847"/>
    <n v="1"/>
    <n v="944"/>
    <n v="17.168313479999998"/>
    <n v="1.153846154"/>
    <n v="89.525093630000001"/>
    <n v="0"/>
    <n v="268"/>
    <n v="1576"/>
    <m/>
  </r>
  <r>
    <s v="Sports &amp; Exercise Medicine"/>
    <n v="2"/>
    <n v="0"/>
    <x v="79"/>
    <n v="2"/>
    <n v="0"/>
    <n v="1"/>
    <n v="18"/>
    <m/>
    <n v="14"/>
    <n v="0"/>
    <n v="1"/>
    <n v="1"/>
    <m/>
  </r>
  <r>
    <s v="Surgical Dentistry"/>
    <n v="305"/>
    <n v="0"/>
    <x v="80"/>
    <n v="305"/>
    <n v="0"/>
    <n v="158"/>
    <n v="47.168316830000002"/>
    <n v="6"/>
    <n v="28.11295681"/>
    <n v="0"/>
    <n v="0"/>
    <n v="305"/>
    <m/>
  </r>
  <r>
    <s v="Total"/>
    <n v="17202558"/>
    <n v="6509586"/>
    <x v="81"/>
    <n v="20912276"/>
    <n v="10014"/>
    <n v="9498494"/>
    <n v="54.365901800000003"/>
    <n v="4.4609265929999999"/>
    <n v="60.185758489999998"/>
    <n v="1850874"/>
    <n v="2455895"/>
    <n v="6386203"/>
    <m/>
  </r>
  <r>
    <s v="Trauma &amp; Orthopaedics"/>
    <n v="1065766"/>
    <n v="299378"/>
    <x v="82"/>
    <n v="1163609"/>
    <n v="77"/>
    <n v="537527"/>
    <n v="57.083179119999997"/>
    <n v="5.2002515120000004"/>
    <n v="93.855783689999996"/>
    <n v="5172"/>
    <n v="29100"/>
    <n v="732116"/>
    <m/>
  </r>
  <r>
    <s v="Tropical Medicine"/>
    <n v="77"/>
    <n v="73"/>
    <x v="83"/>
    <n v="405"/>
    <n v="0"/>
    <n v="261"/>
    <n v="57.653465349999998"/>
    <n v="8.0941176469999991"/>
    <n v="23"/>
    <n v="3"/>
    <n v="1"/>
    <n v="0"/>
    <m/>
  </r>
  <r>
    <s v="Urology"/>
    <n v="655445"/>
    <n v="138408"/>
    <x v="84"/>
    <n v="712016"/>
    <n v="39"/>
    <n v="523704"/>
    <n v="60.75396113"/>
    <n v="2.3962588070000002"/>
    <n v="61.773350550000004"/>
    <n v="2020"/>
    <n v="106492"/>
    <n v="408525"/>
    <m/>
  </r>
  <r>
    <m/>
    <m/>
    <m/>
    <x v="85"/>
    <m/>
    <m/>
    <m/>
    <m/>
    <m/>
    <m/>
    <m/>
    <m/>
    <m/>
    <m/>
  </r>
  <r>
    <m/>
    <m/>
    <m/>
    <x v="85"/>
    <m/>
    <m/>
    <m/>
    <m/>
    <m/>
    <m/>
    <m/>
    <m/>
    <m/>
    <m/>
  </r>
  <r>
    <m/>
    <m/>
    <m/>
    <x v="8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08E45-DDA0-4D39-A603-49350F874E34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0" firstHeaderRow="0" firstDataRow="1" firstDataCol="1"/>
  <pivotFields count="14">
    <pivotField showAll="0"/>
    <pivotField dataField="1" showAll="0"/>
    <pivotField showAll="0"/>
    <pivotField axis="axisRow" showAll="0">
      <items count="87">
        <item x="45"/>
        <item x="79"/>
        <item x="6"/>
        <item x="69"/>
        <item x="31"/>
        <item x="17"/>
        <item x="44"/>
        <item x="42"/>
        <item x="5"/>
        <item x="11"/>
        <item x="72"/>
        <item x="25"/>
        <item x="51"/>
        <item x="37"/>
        <item x="83"/>
        <item x="70"/>
        <item x="80"/>
        <item x="41"/>
        <item x="28"/>
        <item x="71"/>
        <item x="60"/>
        <item x="67"/>
        <item x="50"/>
        <item x="26"/>
        <item x="33"/>
        <item x="78"/>
        <item x="18"/>
        <item x="52"/>
        <item x="9"/>
        <item x="14"/>
        <item x="53"/>
        <item x="10"/>
        <item x="40"/>
        <item x="38"/>
        <item x="21"/>
        <item x="19"/>
        <item x="66"/>
        <item x="16"/>
        <item x="63"/>
        <item x="76"/>
        <item x="56"/>
        <item x="61"/>
        <item x="62"/>
        <item x="29"/>
        <item x="3"/>
        <item x="13"/>
        <item x="20"/>
        <item x="64"/>
        <item x="74"/>
        <item x="39"/>
        <item x="8"/>
        <item x="36"/>
        <item x="54"/>
        <item x="2"/>
        <item x="73"/>
        <item x="49"/>
        <item x="58"/>
        <item x="22"/>
        <item x="59"/>
        <item x="48"/>
        <item x="47"/>
        <item x="68"/>
        <item x="1"/>
        <item x="4"/>
        <item x="77"/>
        <item x="24"/>
        <item x="23"/>
        <item x="84"/>
        <item x="43"/>
        <item x="15"/>
        <item x="7"/>
        <item x="46"/>
        <item x="12"/>
        <item x="75"/>
        <item x="0"/>
        <item x="57"/>
        <item x="34"/>
        <item x="82"/>
        <item x="65"/>
        <item x="55"/>
        <item x="27"/>
        <item x="35"/>
        <item x="32"/>
        <item x="30"/>
        <item x="81"/>
        <item x="8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missions" fld="1" baseField="0" baseItem="0"/>
    <dataField name="Sum of Finished consultant episodes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B5ED6-5F1C-4994-83F8-40AEF4BBB762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2:C179" firstHeaderRow="0" firstDataRow="1" firstDataCol="1"/>
  <pivotFields count="14">
    <pivotField showAll="0"/>
    <pivotField dataField="1" showAll="0"/>
    <pivotField showAll="0"/>
    <pivotField axis="axisRow" showAll="0">
      <items count="87">
        <item x="45"/>
        <item x="79"/>
        <item x="6"/>
        <item x="69"/>
        <item x="31"/>
        <item x="17"/>
        <item x="44"/>
        <item x="42"/>
        <item x="5"/>
        <item x="11"/>
        <item x="72"/>
        <item x="25"/>
        <item x="51"/>
        <item x="37"/>
        <item x="83"/>
        <item x="70"/>
        <item x="80"/>
        <item x="41"/>
        <item x="28"/>
        <item x="71"/>
        <item x="60"/>
        <item x="67"/>
        <item x="50"/>
        <item x="26"/>
        <item x="33"/>
        <item x="78"/>
        <item x="18"/>
        <item x="52"/>
        <item x="9"/>
        <item x="14"/>
        <item x="53"/>
        <item x="10"/>
        <item x="40"/>
        <item x="38"/>
        <item x="21"/>
        <item x="19"/>
        <item x="66"/>
        <item x="16"/>
        <item x="63"/>
        <item x="76"/>
        <item x="56"/>
        <item x="61"/>
        <item x="62"/>
        <item x="29"/>
        <item x="3"/>
        <item x="13"/>
        <item x="20"/>
        <item x="64"/>
        <item x="74"/>
        <item x="39"/>
        <item x="8"/>
        <item x="36"/>
        <item x="54"/>
        <item x="2"/>
        <item x="73"/>
        <item x="49"/>
        <item x="58"/>
        <item x="22"/>
        <item x="59"/>
        <item x="48"/>
        <item x="47"/>
        <item x="68"/>
        <item x="1"/>
        <item x="4"/>
        <item x="77"/>
        <item x="24"/>
        <item x="23"/>
        <item x="84"/>
        <item x="43"/>
        <item x="15"/>
        <item x="7"/>
        <item x="46"/>
        <item x="12"/>
        <item x="75"/>
        <item x="0"/>
        <item x="57"/>
        <item x="34"/>
        <item x="82"/>
        <item x="65"/>
        <item x="55"/>
        <item x="27"/>
        <item x="35"/>
        <item x="32"/>
        <item x="30"/>
        <item x="81"/>
        <item x="8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missions" fld="1" baseField="0" baseItem="0"/>
    <dataField name="Sum of Finished consultant episod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49587E-F134-4EF8-8790-C4A7435B7DD9}" name="Table2" displayName="Table2" ref="A1:N89" totalsRowShown="0" headerRowDxfId="0">
  <autoFilter ref="A1:N89" xr:uid="{C849587E-F134-4EF8-8790-C4A7435B7DD9}"/>
  <tableColumns count="14">
    <tableColumn id="1" xr3:uid="{C9593287-02E5-4CB8-8DEB-6B3D5654C7EB}" name="Main Speciality"/>
    <tableColumn id="2" xr3:uid="{F979A849-22EE-4AEC-8FE4-C8B63CB3DF00}" name="Admissions"/>
    <tableColumn id="3" xr3:uid="{25F339FA-2A90-478E-BFFD-E8171487E722}" name="Emergency"/>
    <tableColumn id="4" xr3:uid="{F69AC2B5-77F8-4B9B-A059-DA567BD9A27E}" name="Female"/>
    <tableColumn id="5" xr3:uid="{46199C1B-CB7D-443B-9628-67458D6A7F88}" name="Finished consultant episodes"/>
    <tableColumn id="6" xr3:uid="{88437D3F-7918-4F48-9C4D-55175008C24F}" name="Gender Unknown"/>
    <tableColumn id="7" xr3:uid="{A868AF36-F0F4-4E86-B999-06E73A8C29F9}" name="Male"/>
    <tableColumn id="8" xr3:uid="{17DD7F71-775D-48F3-B11C-F02B32F3D9BA}" name="Mean age" dataDxfId="3"/>
    <tableColumn id="9" xr3:uid="{98FE4455-91AD-4695-B913-77C797E3CCC3}" name="Mean length of stay" dataDxfId="2"/>
    <tableColumn id="10" xr3:uid="{4D81CA8C-E752-46CD-A373-A051E8FE4D0B}" name="Mean time waited" dataDxfId="1"/>
    <tableColumn id="11" xr3:uid="{EA8BF648-0D49-4125-B2A4-7039C4D22A29}" name="Other Admission Method"/>
    <tableColumn id="12" xr3:uid="{8AD1F859-A2D8-49ED-B70B-8061F6ADD412}" name="Planned"/>
    <tableColumn id="13" xr3:uid="{75B553CF-DC15-4689-BC82-FB6E2E354049}" name="Waiting list"/>
    <tableColumn id="14" xr3:uid="{5C87A497-0471-4DDF-B281-7EBE5A6286B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3CF8-608E-4E74-9F9D-E3ACA3F4785C}">
  <dimension ref="A3:C90"/>
  <sheetViews>
    <sheetView workbookViewId="0">
      <selection activeCell="A2" sqref="A2:D91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32" bestFit="1" customWidth="1"/>
  </cols>
  <sheetData>
    <row r="3" spans="1:3" x14ac:dyDescent="0.3">
      <c r="A3" s="9" t="s">
        <v>100</v>
      </c>
      <c r="B3" t="s">
        <v>99</v>
      </c>
      <c r="C3" t="s">
        <v>103</v>
      </c>
    </row>
    <row r="4" spans="1:3" x14ac:dyDescent="0.3">
      <c r="A4" s="10">
        <v>0</v>
      </c>
      <c r="B4" s="2">
        <v>0</v>
      </c>
      <c r="C4" s="2">
        <v>3</v>
      </c>
    </row>
    <row r="5" spans="1:3" x14ac:dyDescent="0.3">
      <c r="A5" s="10">
        <v>1</v>
      </c>
      <c r="B5" s="2">
        <v>2</v>
      </c>
      <c r="C5" s="2">
        <v>2</v>
      </c>
    </row>
    <row r="6" spans="1:3" x14ac:dyDescent="0.3">
      <c r="A6" s="10">
        <v>2</v>
      </c>
      <c r="B6" s="2">
        <v>14</v>
      </c>
      <c r="C6" s="2">
        <v>18</v>
      </c>
    </row>
    <row r="7" spans="1:3" x14ac:dyDescent="0.3">
      <c r="A7" s="10">
        <v>6</v>
      </c>
      <c r="B7" s="2">
        <v>9</v>
      </c>
      <c r="C7" s="2">
        <v>9</v>
      </c>
    </row>
    <row r="8" spans="1:3" x14ac:dyDescent="0.3">
      <c r="A8" s="10">
        <v>7</v>
      </c>
      <c r="B8" s="2">
        <v>12</v>
      </c>
      <c r="C8" s="2">
        <v>12</v>
      </c>
    </row>
    <row r="9" spans="1:3" x14ac:dyDescent="0.3">
      <c r="A9" s="10">
        <v>28</v>
      </c>
      <c r="B9" s="2">
        <v>62</v>
      </c>
      <c r="C9" s="2">
        <v>68</v>
      </c>
    </row>
    <row r="10" spans="1:3" x14ac:dyDescent="0.3">
      <c r="A10" s="10">
        <v>47</v>
      </c>
      <c r="B10" s="2">
        <v>68</v>
      </c>
      <c r="C10" s="2">
        <v>72</v>
      </c>
    </row>
    <row r="11" spans="1:3" x14ac:dyDescent="0.3">
      <c r="A11" s="10">
        <v>51</v>
      </c>
      <c r="B11" s="2">
        <v>30</v>
      </c>
      <c r="C11" s="2">
        <v>116</v>
      </c>
    </row>
    <row r="12" spans="1:3" x14ac:dyDescent="0.3">
      <c r="A12" s="10">
        <v>73</v>
      </c>
      <c r="B12" s="2">
        <v>177</v>
      </c>
      <c r="C12" s="2">
        <v>177</v>
      </c>
    </row>
    <row r="13" spans="1:3" x14ac:dyDescent="0.3">
      <c r="A13" s="10">
        <v>81</v>
      </c>
      <c r="B13" s="2">
        <v>184</v>
      </c>
      <c r="C13" s="2">
        <v>192</v>
      </c>
    </row>
    <row r="14" spans="1:3" x14ac:dyDescent="0.3">
      <c r="A14" s="10">
        <v>106</v>
      </c>
      <c r="B14" s="2">
        <v>531</v>
      </c>
      <c r="C14" s="2">
        <v>562</v>
      </c>
    </row>
    <row r="15" spans="1:3" x14ac:dyDescent="0.3">
      <c r="A15" s="10">
        <v>115</v>
      </c>
      <c r="B15" s="2">
        <v>165</v>
      </c>
      <c r="C15" s="2">
        <v>228</v>
      </c>
    </row>
    <row r="16" spans="1:3" x14ac:dyDescent="0.3">
      <c r="A16" s="10">
        <v>139</v>
      </c>
      <c r="B16" s="2">
        <v>81</v>
      </c>
      <c r="C16" s="2">
        <v>215</v>
      </c>
    </row>
    <row r="17" spans="1:3" x14ac:dyDescent="0.3">
      <c r="A17" s="10">
        <v>143</v>
      </c>
      <c r="B17" s="2">
        <v>258</v>
      </c>
      <c r="C17" s="2">
        <v>265</v>
      </c>
    </row>
    <row r="18" spans="1:3" x14ac:dyDescent="0.3">
      <c r="A18" s="10">
        <v>144</v>
      </c>
      <c r="B18" s="2">
        <v>77</v>
      </c>
      <c r="C18" s="2">
        <v>405</v>
      </c>
    </row>
    <row r="19" spans="1:3" x14ac:dyDescent="0.3">
      <c r="A19" s="10">
        <v>145</v>
      </c>
      <c r="B19" s="2">
        <v>200</v>
      </c>
      <c r="C19" s="2">
        <v>201</v>
      </c>
    </row>
    <row r="20" spans="1:3" x14ac:dyDescent="0.3">
      <c r="A20" s="10">
        <v>147</v>
      </c>
      <c r="B20" s="2">
        <v>305</v>
      </c>
      <c r="C20" s="2">
        <v>305</v>
      </c>
    </row>
    <row r="21" spans="1:3" x14ac:dyDescent="0.3">
      <c r="A21" s="10">
        <v>155</v>
      </c>
      <c r="B21" s="2">
        <v>170</v>
      </c>
      <c r="C21" s="2">
        <v>319</v>
      </c>
    </row>
    <row r="22" spans="1:3" x14ac:dyDescent="0.3">
      <c r="A22" s="10">
        <v>209</v>
      </c>
      <c r="B22" s="2">
        <v>459</v>
      </c>
      <c r="C22" s="2">
        <v>460</v>
      </c>
    </row>
    <row r="23" spans="1:3" x14ac:dyDescent="0.3">
      <c r="A23" s="10">
        <v>222</v>
      </c>
      <c r="B23" s="2">
        <v>486</v>
      </c>
      <c r="C23" s="2">
        <v>486</v>
      </c>
    </row>
    <row r="24" spans="1:3" x14ac:dyDescent="0.3">
      <c r="A24" s="10">
        <v>254</v>
      </c>
      <c r="B24" s="2">
        <v>421</v>
      </c>
      <c r="C24" s="2">
        <v>435</v>
      </c>
    </row>
    <row r="25" spans="1:3" x14ac:dyDescent="0.3">
      <c r="A25" s="10">
        <v>321</v>
      </c>
      <c r="B25" s="2">
        <v>515</v>
      </c>
      <c r="C25" s="2">
        <v>517</v>
      </c>
    </row>
    <row r="26" spans="1:3" x14ac:dyDescent="0.3">
      <c r="A26" s="10">
        <v>388</v>
      </c>
      <c r="B26" s="2">
        <v>548</v>
      </c>
      <c r="C26" s="2">
        <v>790</v>
      </c>
    </row>
    <row r="27" spans="1:3" x14ac:dyDescent="0.3">
      <c r="A27" s="10">
        <v>626</v>
      </c>
      <c r="B27" s="2">
        <v>1495</v>
      </c>
      <c r="C27" s="2">
        <v>2807</v>
      </c>
    </row>
    <row r="28" spans="1:3" x14ac:dyDescent="0.3">
      <c r="A28" s="10">
        <v>768</v>
      </c>
      <c r="B28" s="2">
        <v>1109</v>
      </c>
      <c r="C28" s="2">
        <v>1703</v>
      </c>
    </row>
    <row r="29" spans="1:3" x14ac:dyDescent="0.3">
      <c r="A29" s="10">
        <v>902</v>
      </c>
      <c r="B29" s="2">
        <v>1845</v>
      </c>
      <c r="C29" s="2">
        <v>1847</v>
      </c>
    </row>
    <row r="30" spans="1:3" x14ac:dyDescent="0.3">
      <c r="A30" s="10">
        <v>1255</v>
      </c>
      <c r="B30" s="2">
        <v>2522</v>
      </c>
      <c r="C30" s="2">
        <v>2525</v>
      </c>
    </row>
    <row r="31" spans="1:3" x14ac:dyDescent="0.3">
      <c r="A31" s="10">
        <v>1342</v>
      </c>
      <c r="B31" s="2">
        <v>2307</v>
      </c>
      <c r="C31" s="2">
        <v>2497</v>
      </c>
    </row>
    <row r="32" spans="1:3" x14ac:dyDescent="0.3">
      <c r="A32" s="10">
        <v>1416</v>
      </c>
      <c r="B32" s="2">
        <v>2486</v>
      </c>
      <c r="C32" s="2">
        <v>2546</v>
      </c>
    </row>
    <row r="33" spans="1:3" x14ac:dyDescent="0.3">
      <c r="A33" s="10">
        <v>1449</v>
      </c>
      <c r="B33" s="2">
        <v>2823</v>
      </c>
      <c r="C33" s="2">
        <v>2887</v>
      </c>
    </row>
    <row r="34" spans="1:3" x14ac:dyDescent="0.3">
      <c r="A34" s="10">
        <v>1781</v>
      </c>
      <c r="B34" s="2">
        <v>2255</v>
      </c>
      <c r="C34" s="2">
        <v>2264</v>
      </c>
    </row>
    <row r="35" spans="1:3" x14ac:dyDescent="0.3">
      <c r="A35" s="10">
        <v>1918</v>
      </c>
      <c r="B35" s="2">
        <v>2483</v>
      </c>
      <c r="C35" s="2">
        <v>3094</v>
      </c>
    </row>
    <row r="36" spans="1:3" x14ac:dyDescent="0.3">
      <c r="A36" s="10">
        <v>1954</v>
      </c>
      <c r="B36" s="2">
        <v>5297</v>
      </c>
      <c r="C36" s="2">
        <v>5517</v>
      </c>
    </row>
    <row r="37" spans="1:3" x14ac:dyDescent="0.3">
      <c r="A37" s="10">
        <v>2056</v>
      </c>
      <c r="B37" s="2">
        <v>3266</v>
      </c>
      <c r="C37" s="2">
        <v>3274</v>
      </c>
    </row>
    <row r="38" spans="1:3" x14ac:dyDescent="0.3">
      <c r="A38" s="10">
        <v>2125</v>
      </c>
      <c r="B38" s="2">
        <v>3765</v>
      </c>
      <c r="C38" s="2">
        <v>3793</v>
      </c>
    </row>
    <row r="39" spans="1:3" x14ac:dyDescent="0.3">
      <c r="A39" s="10">
        <v>2250</v>
      </c>
      <c r="B39" s="2">
        <v>1975</v>
      </c>
      <c r="C39" s="2">
        <v>3775</v>
      </c>
    </row>
    <row r="40" spans="1:3" x14ac:dyDescent="0.3">
      <c r="A40" s="10">
        <v>5126</v>
      </c>
      <c r="B40" s="2">
        <v>5703</v>
      </c>
      <c r="C40" s="2">
        <v>10477</v>
      </c>
    </row>
    <row r="41" spans="1:3" x14ac:dyDescent="0.3">
      <c r="A41" s="10">
        <v>5185</v>
      </c>
      <c r="B41" s="2">
        <v>5182</v>
      </c>
      <c r="C41" s="2">
        <v>10157</v>
      </c>
    </row>
    <row r="42" spans="1:3" x14ac:dyDescent="0.3">
      <c r="A42" s="10">
        <v>5225</v>
      </c>
      <c r="B42" s="2">
        <v>10845</v>
      </c>
      <c r="C42" s="2">
        <v>11833</v>
      </c>
    </row>
    <row r="43" spans="1:3" x14ac:dyDescent="0.3">
      <c r="A43" s="10">
        <v>5279</v>
      </c>
      <c r="B43" s="2">
        <v>8715</v>
      </c>
      <c r="C43" s="2">
        <v>8725</v>
      </c>
    </row>
    <row r="44" spans="1:3" x14ac:dyDescent="0.3">
      <c r="A44" s="10">
        <v>7233</v>
      </c>
      <c r="B44" s="2">
        <v>9623</v>
      </c>
      <c r="C44" s="2">
        <v>13343</v>
      </c>
    </row>
    <row r="45" spans="1:3" x14ac:dyDescent="0.3">
      <c r="A45" s="10">
        <v>7621</v>
      </c>
      <c r="B45" s="2">
        <v>13033</v>
      </c>
      <c r="C45" s="2">
        <v>16469</v>
      </c>
    </row>
    <row r="46" spans="1:3" x14ac:dyDescent="0.3">
      <c r="A46" s="10">
        <v>9897</v>
      </c>
      <c r="B46" s="2">
        <v>20952</v>
      </c>
      <c r="C46" s="2">
        <v>20974</v>
      </c>
    </row>
    <row r="47" spans="1:3" x14ac:dyDescent="0.3">
      <c r="A47" s="10">
        <v>12953</v>
      </c>
      <c r="B47" s="2">
        <v>17904</v>
      </c>
      <c r="C47" s="2">
        <v>22295</v>
      </c>
    </row>
    <row r="48" spans="1:3" x14ac:dyDescent="0.3">
      <c r="A48" s="10">
        <v>13466</v>
      </c>
      <c r="B48" s="2">
        <v>17491</v>
      </c>
      <c r="C48" s="2">
        <v>23232</v>
      </c>
    </row>
    <row r="49" spans="1:3" x14ac:dyDescent="0.3">
      <c r="A49" s="10">
        <v>14745</v>
      </c>
      <c r="B49" s="2">
        <v>27051</v>
      </c>
      <c r="C49" s="2">
        <v>27193</v>
      </c>
    </row>
    <row r="50" spans="1:3" x14ac:dyDescent="0.3">
      <c r="A50" s="10">
        <v>18347</v>
      </c>
      <c r="B50" s="2">
        <v>15025</v>
      </c>
      <c r="C50" s="2">
        <v>41144</v>
      </c>
    </row>
    <row r="51" spans="1:3" x14ac:dyDescent="0.3">
      <c r="A51" s="10">
        <v>20780</v>
      </c>
      <c r="B51" s="2">
        <v>55867</v>
      </c>
      <c r="C51" s="2">
        <v>61608</v>
      </c>
    </row>
    <row r="52" spans="1:3" x14ac:dyDescent="0.3">
      <c r="A52" s="10">
        <v>21798</v>
      </c>
      <c r="B52" s="2">
        <v>25300</v>
      </c>
      <c r="C52" s="2">
        <v>42069</v>
      </c>
    </row>
    <row r="53" spans="1:3" x14ac:dyDescent="0.3">
      <c r="A53" s="10">
        <v>22327</v>
      </c>
      <c r="B53" s="2">
        <v>24492</v>
      </c>
      <c r="C53" s="2">
        <v>47476</v>
      </c>
    </row>
    <row r="54" spans="1:3" x14ac:dyDescent="0.3">
      <c r="A54" s="10">
        <v>26413</v>
      </c>
      <c r="B54" s="2">
        <v>60775</v>
      </c>
      <c r="C54" s="2">
        <v>77245</v>
      </c>
    </row>
    <row r="55" spans="1:3" x14ac:dyDescent="0.3">
      <c r="A55" s="10">
        <v>26640</v>
      </c>
      <c r="B55" s="2">
        <v>58682</v>
      </c>
      <c r="C55" s="2">
        <v>62661</v>
      </c>
    </row>
    <row r="56" spans="1:3" x14ac:dyDescent="0.3">
      <c r="A56" s="10">
        <v>31000</v>
      </c>
      <c r="B56" s="2">
        <v>54041</v>
      </c>
      <c r="C56" s="2">
        <v>57699</v>
      </c>
    </row>
    <row r="57" spans="1:3" x14ac:dyDescent="0.3">
      <c r="A57" s="10">
        <v>35366</v>
      </c>
      <c r="B57" s="2">
        <v>54695</v>
      </c>
      <c r="C57" s="2">
        <v>77048</v>
      </c>
    </row>
    <row r="58" spans="1:3" x14ac:dyDescent="0.3">
      <c r="A58" s="10">
        <v>48886</v>
      </c>
      <c r="B58" s="2">
        <v>78216</v>
      </c>
      <c r="C58" s="2">
        <v>92503</v>
      </c>
    </row>
    <row r="59" spans="1:3" x14ac:dyDescent="0.3">
      <c r="A59" s="10">
        <v>51126</v>
      </c>
      <c r="B59" s="2">
        <v>86848</v>
      </c>
      <c r="C59" s="2">
        <v>105004</v>
      </c>
    </row>
    <row r="60" spans="1:3" x14ac:dyDescent="0.3">
      <c r="A60" s="10">
        <v>52071</v>
      </c>
      <c r="B60" s="2">
        <v>103285</v>
      </c>
      <c r="C60" s="2">
        <v>105304</v>
      </c>
    </row>
    <row r="61" spans="1:3" x14ac:dyDescent="0.3">
      <c r="A61" s="10">
        <v>72038</v>
      </c>
      <c r="B61" s="2">
        <v>148979</v>
      </c>
      <c r="C61" s="2">
        <v>149838</v>
      </c>
    </row>
    <row r="62" spans="1:3" x14ac:dyDescent="0.3">
      <c r="A62" s="10">
        <v>90145</v>
      </c>
      <c r="B62" s="2">
        <v>171969</v>
      </c>
      <c r="C62" s="2">
        <v>174716</v>
      </c>
    </row>
    <row r="63" spans="1:3" x14ac:dyDescent="0.3">
      <c r="A63" s="10">
        <v>99804</v>
      </c>
      <c r="B63" s="2">
        <v>149829</v>
      </c>
      <c r="C63" s="2">
        <v>179545</v>
      </c>
    </row>
    <row r="64" spans="1:3" x14ac:dyDescent="0.3">
      <c r="A64" s="10">
        <v>102753</v>
      </c>
      <c r="B64" s="2">
        <v>137792</v>
      </c>
      <c r="C64" s="2">
        <v>222531</v>
      </c>
    </row>
    <row r="65" spans="1:3" x14ac:dyDescent="0.3">
      <c r="A65" s="10">
        <v>119323</v>
      </c>
      <c r="B65" s="2">
        <v>263522</v>
      </c>
      <c r="C65" s="2">
        <v>269455</v>
      </c>
    </row>
    <row r="66" spans="1:3" x14ac:dyDescent="0.3">
      <c r="A66" s="10">
        <v>120846</v>
      </c>
      <c r="B66" s="2">
        <v>164098</v>
      </c>
      <c r="C66" s="2">
        <v>230359</v>
      </c>
    </row>
    <row r="67" spans="1:3" x14ac:dyDescent="0.3">
      <c r="A67" s="10">
        <v>124928</v>
      </c>
      <c r="B67" s="2">
        <v>183292</v>
      </c>
      <c r="C67" s="2">
        <v>198696</v>
      </c>
    </row>
    <row r="68" spans="1:3" x14ac:dyDescent="0.3">
      <c r="A68" s="10">
        <v>133274</v>
      </c>
      <c r="B68" s="2">
        <v>174028</v>
      </c>
      <c r="C68" s="2">
        <v>191301</v>
      </c>
    </row>
    <row r="69" spans="1:3" x14ac:dyDescent="0.3">
      <c r="A69" s="10">
        <v>135972</v>
      </c>
      <c r="B69" s="2">
        <v>155779</v>
      </c>
      <c r="C69" s="2">
        <v>263015</v>
      </c>
    </row>
    <row r="70" spans="1:3" x14ac:dyDescent="0.3">
      <c r="A70" s="10">
        <v>164117</v>
      </c>
      <c r="B70" s="2">
        <v>335277</v>
      </c>
      <c r="C70" s="2">
        <v>346776</v>
      </c>
    </row>
    <row r="71" spans="1:3" x14ac:dyDescent="0.3">
      <c r="A71" s="10">
        <v>188273</v>
      </c>
      <c r="B71" s="2">
        <v>655445</v>
      </c>
      <c r="C71" s="2">
        <v>712016</v>
      </c>
    </row>
    <row r="72" spans="1:3" x14ac:dyDescent="0.3">
      <c r="A72" s="10">
        <v>250707</v>
      </c>
      <c r="B72" s="2">
        <v>388654</v>
      </c>
      <c r="C72" s="2">
        <v>400374</v>
      </c>
    </row>
    <row r="73" spans="1:3" x14ac:dyDescent="0.3">
      <c r="A73" s="10">
        <v>252026</v>
      </c>
      <c r="B73" s="2">
        <v>409243</v>
      </c>
      <c r="C73" s="2">
        <v>427425</v>
      </c>
    </row>
    <row r="74" spans="1:3" x14ac:dyDescent="0.3">
      <c r="A74" s="10">
        <v>267274</v>
      </c>
      <c r="B74" s="2">
        <v>429253</v>
      </c>
      <c r="C74" s="2">
        <v>707777</v>
      </c>
    </row>
    <row r="75" spans="1:3" x14ac:dyDescent="0.3">
      <c r="A75" s="10">
        <v>278147</v>
      </c>
      <c r="B75" s="2">
        <v>299400</v>
      </c>
      <c r="C75" s="2">
        <v>307213</v>
      </c>
    </row>
    <row r="76" spans="1:3" x14ac:dyDescent="0.3">
      <c r="A76" s="10">
        <v>278886</v>
      </c>
      <c r="B76" s="2">
        <v>644822</v>
      </c>
      <c r="C76" s="2">
        <v>672073</v>
      </c>
    </row>
    <row r="77" spans="1:3" x14ac:dyDescent="0.3">
      <c r="A77" s="10">
        <v>351735</v>
      </c>
      <c r="B77" s="2">
        <v>348351</v>
      </c>
      <c r="C77" s="2">
        <v>690160</v>
      </c>
    </row>
    <row r="78" spans="1:3" x14ac:dyDescent="0.3">
      <c r="A78" s="10">
        <v>423619</v>
      </c>
      <c r="B78" s="2">
        <v>769227</v>
      </c>
      <c r="C78" s="2">
        <v>784586</v>
      </c>
    </row>
    <row r="79" spans="1:3" x14ac:dyDescent="0.3">
      <c r="A79" s="10">
        <v>429626</v>
      </c>
      <c r="B79" s="2">
        <v>776740</v>
      </c>
      <c r="C79" s="2">
        <v>782876</v>
      </c>
    </row>
    <row r="80" spans="1:3" x14ac:dyDescent="0.3">
      <c r="A80" s="10">
        <v>583672</v>
      </c>
      <c r="B80" s="2">
        <v>421087</v>
      </c>
      <c r="C80" s="2">
        <v>1044791</v>
      </c>
    </row>
    <row r="81" spans="1:3" x14ac:dyDescent="0.3">
      <c r="A81" s="10">
        <v>626005</v>
      </c>
      <c r="B81" s="2">
        <v>1065766</v>
      </c>
      <c r="C81" s="2">
        <v>1163609</v>
      </c>
    </row>
    <row r="82" spans="1:3" x14ac:dyDescent="0.3">
      <c r="A82" s="10">
        <v>701736</v>
      </c>
      <c r="B82" s="2">
        <v>1403182</v>
      </c>
      <c r="C82" s="2">
        <v>1500564</v>
      </c>
    </row>
    <row r="83" spans="1:3" x14ac:dyDescent="0.3">
      <c r="A83" s="10">
        <v>735136</v>
      </c>
      <c r="B83" s="2">
        <v>717466</v>
      </c>
      <c r="C83" s="2">
        <v>749276</v>
      </c>
    </row>
    <row r="84" spans="1:3" x14ac:dyDescent="0.3">
      <c r="A84" s="10">
        <v>748006</v>
      </c>
      <c r="B84" s="2">
        <v>1224422</v>
      </c>
      <c r="C84" s="2">
        <v>1488192</v>
      </c>
    </row>
    <row r="85" spans="1:3" x14ac:dyDescent="0.3">
      <c r="A85" s="10">
        <v>768843</v>
      </c>
      <c r="B85" s="2">
        <v>749446</v>
      </c>
      <c r="C85" s="2">
        <v>774035</v>
      </c>
    </row>
    <row r="86" spans="1:3" x14ac:dyDescent="0.3">
      <c r="A86" s="10">
        <v>1086628</v>
      </c>
      <c r="B86" s="2">
        <v>1848911</v>
      </c>
      <c r="C86" s="2">
        <v>2051633</v>
      </c>
    </row>
    <row r="87" spans="1:3" x14ac:dyDescent="0.3">
      <c r="A87" s="10">
        <v>1806137</v>
      </c>
      <c r="B87" s="2">
        <v>2374451</v>
      </c>
      <c r="C87" s="2">
        <v>3450599</v>
      </c>
    </row>
    <row r="88" spans="1:3" x14ac:dyDescent="0.3">
      <c r="A88" s="10">
        <v>11403768</v>
      </c>
      <c r="B88" s="2">
        <v>17202558</v>
      </c>
      <c r="C88" s="2">
        <v>20912276</v>
      </c>
    </row>
    <row r="89" spans="1:3" x14ac:dyDescent="0.3">
      <c r="A89" s="10" t="s">
        <v>101</v>
      </c>
      <c r="B89" s="2"/>
      <c r="C89" s="2"/>
    </row>
    <row r="90" spans="1:3" x14ac:dyDescent="0.3">
      <c r="A90" s="10" t="s">
        <v>102</v>
      </c>
      <c r="B90" s="2">
        <v>34405116</v>
      </c>
      <c r="C90" s="2">
        <v>41824552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0345-C6EA-4D7B-9D32-7E1CAC7E3641}">
  <dimension ref="A1:N179"/>
  <sheetViews>
    <sheetView tabSelected="1" topLeftCell="A77" zoomScaleNormal="100" workbookViewId="0">
      <selection activeCell="H97" sqref="H97"/>
    </sheetView>
  </sheetViews>
  <sheetFormatPr defaultRowHeight="14.4" x14ac:dyDescent="0.3"/>
  <cols>
    <col min="1" max="1" width="18.6640625" customWidth="1"/>
    <col min="2" max="2" width="16.44140625" customWidth="1"/>
    <col min="3" max="3" width="13" customWidth="1"/>
    <col min="4" max="4" width="12.5546875" customWidth="1"/>
    <col min="5" max="5" width="26.88671875" customWidth="1"/>
    <col min="6" max="6" width="17.77734375" customWidth="1"/>
    <col min="7" max="7" width="14" customWidth="1"/>
    <col min="8" max="8" width="16" style="8" customWidth="1"/>
    <col min="9" max="9" width="22.109375" style="6" customWidth="1"/>
    <col min="10" max="10" width="18.109375" style="4" customWidth="1"/>
    <col min="11" max="11" width="24" customWidth="1"/>
    <col min="12" max="12" width="14.5546875" customWidth="1"/>
    <col min="13" max="13" width="13.44140625" customWidth="1"/>
    <col min="14" max="14" width="10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5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t="s">
        <v>104</v>
      </c>
    </row>
    <row r="2" spans="1:14" x14ac:dyDescent="0.3">
      <c r="A2" t="s">
        <v>33</v>
      </c>
      <c r="B2">
        <v>769227</v>
      </c>
      <c r="C2">
        <v>765012</v>
      </c>
      <c r="D2">
        <v>423619</v>
      </c>
      <c r="E2">
        <v>784586</v>
      </c>
      <c r="F2">
        <v>126</v>
      </c>
      <c r="G2">
        <v>360841</v>
      </c>
      <c r="H2" s="8">
        <v>55.240907300000003</v>
      </c>
      <c r="I2" s="6">
        <v>0.40724535299999998</v>
      </c>
      <c r="J2" s="4">
        <v>53.228017880000003</v>
      </c>
      <c r="K2">
        <v>298</v>
      </c>
      <c r="L2">
        <v>381</v>
      </c>
      <c r="M2">
        <v>3536</v>
      </c>
    </row>
    <row r="3" spans="1:14" x14ac:dyDescent="0.3">
      <c r="A3" t="s">
        <v>54</v>
      </c>
      <c r="B3">
        <v>164098</v>
      </c>
      <c r="C3">
        <v>158423</v>
      </c>
      <c r="D3">
        <v>120846</v>
      </c>
      <c r="E3">
        <v>230359</v>
      </c>
      <c r="F3">
        <v>18</v>
      </c>
      <c r="G3">
        <v>109495</v>
      </c>
      <c r="H3" s="8">
        <v>64.678279900000007</v>
      </c>
      <c r="I3" s="6">
        <v>1.656461317</v>
      </c>
      <c r="J3" s="4">
        <v>36.066666669999996</v>
      </c>
      <c r="K3">
        <v>225</v>
      </c>
      <c r="L3">
        <v>1816</v>
      </c>
      <c r="M3">
        <v>3634</v>
      </c>
    </row>
    <row r="4" spans="1:14" x14ac:dyDescent="0.3">
      <c r="A4" t="s">
        <v>51</v>
      </c>
      <c r="B4">
        <v>54695</v>
      </c>
      <c r="C4">
        <v>40397</v>
      </c>
      <c r="D4">
        <v>35366</v>
      </c>
      <c r="E4">
        <v>77048</v>
      </c>
      <c r="F4">
        <v>62</v>
      </c>
      <c r="G4">
        <v>41620</v>
      </c>
      <c r="H4" s="8">
        <v>40.234351820000001</v>
      </c>
      <c r="I4" s="6">
        <v>47.910641030000001</v>
      </c>
      <c r="J4" s="4">
        <v>23.055555559999998</v>
      </c>
      <c r="K4">
        <v>3673</v>
      </c>
      <c r="L4">
        <v>7956</v>
      </c>
      <c r="M4">
        <v>2669</v>
      </c>
    </row>
    <row r="5" spans="1:14" x14ac:dyDescent="0.3">
      <c r="A5" t="s">
        <v>97</v>
      </c>
      <c r="B5">
        <v>17491</v>
      </c>
      <c r="C5">
        <v>8220</v>
      </c>
      <c r="D5">
        <v>13466</v>
      </c>
      <c r="E5">
        <v>23232</v>
      </c>
      <c r="F5">
        <v>3</v>
      </c>
      <c r="G5">
        <v>9763</v>
      </c>
      <c r="H5" s="8">
        <v>58.392362980000001</v>
      </c>
      <c r="I5" s="6">
        <v>10.678118</v>
      </c>
      <c r="J5" s="4">
        <v>82.534331440000003</v>
      </c>
      <c r="K5">
        <v>760</v>
      </c>
      <c r="L5">
        <v>1504</v>
      </c>
      <c r="M5">
        <v>7007</v>
      </c>
    </row>
    <row r="6" spans="1:14" x14ac:dyDescent="0.3">
      <c r="A6" t="s">
        <v>32</v>
      </c>
      <c r="B6">
        <v>183292</v>
      </c>
      <c r="C6">
        <v>9642</v>
      </c>
      <c r="D6">
        <v>124928</v>
      </c>
      <c r="E6">
        <v>198696</v>
      </c>
      <c r="F6">
        <v>143</v>
      </c>
      <c r="G6">
        <v>73625</v>
      </c>
      <c r="H6" s="8">
        <v>58.772965040000003</v>
      </c>
      <c r="I6" s="6">
        <v>4.4366697559999997</v>
      </c>
      <c r="J6" s="4">
        <v>136.6516412</v>
      </c>
      <c r="K6">
        <v>633</v>
      </c>
      <c r="L6">
        <v>43123</v>
      </c>
      <c r="M6">
        <v>129894</v>
      </c>
    </row>
    <row r="7" spans="1:14" x14ac:dyDescent="0.3">
      <c r="A7" t="s">
        <v>42</v>
      </c>
      <c r="B7">
        <v>177</v>
      </c>
      <c r="C7">
        <v>9</v>
      </c>
      <c r="D7">
        <v>73</v>
      </c>
      <c r="E7">
        <v>177</v>
      </c>
      <c r="F7">
        <v>0</v>
      </c>
      <c r="G7">
        <v>104</v>
      </c>
      <c r="H7" s="8">
        <v>11.076011360000001</v>
      </c>
      <c r="I7" s="6">
        <v>0.34482758600000002</v>
      </c>
      <c r="J7" s="4">
        <v>47.987012989999997</v>
      </c>
      <c r="K7">
        <v>1</v>
      </c>
      <c r="L7">
        <v>55</v>
      </c>
      <c r="M7">
        <v>112</v>
      </c>
    </row>
    <row r="8" spans="1:14" x14ac:dyDescent="0.3">
      <c r="A8" t="s">
        <v>83</v>
      </c>
      <c r="B8">
        <v>10</v>
      </c>
      <c r="C8">
        <v>0</v>
      </c>
      <c r="D8">
        <v>2</v>
      </c>
      <c r="E8">
        <v>13</v>
      </c>
      <c r="F8">
        <v>0</v>
      </c>
      <c r="G8">
        <v>11</v>
      </c>
      <c r="H8" s="8">
        <v>56.07692308</v>
      </c>
      <c r="I8" s="6">
        <v>5.1428571429999996</v>
      </c>
      <c r="J8" s="4">
        <f>J5</f>
        <v>82.534331440000003</v>
      </c>
      <c r="K8">
        <v>0</v>
      </c>
      <c r="L8">
        <v>4</v>
      </c>
      <c r="M8">
        <v>6</v>
      </c>
    </row>
    <row r="9" spans="1:14" x14ac:dyDescent="0.3">
      <c r="A9" t="s">
        <v>47</v>
      </c>
      <c r="B9">
        <v>429253</v>
      </c>
      <c r="C9">
        <v>158256</v>
      </c>
      <c r="D9">
        <v>267274</v>
      </c>
      <c r="E9">
        <v>707777</v>
      </c>
      <c r="F9">
        <v>41</v>
      </c>
      <c r="G9">
        <v>440462</v>
      </c>
      <c r="H9" s="8">
        <v>67.774496799999994</v>
      </c>
      <c r="I9" s="6">
        <v>5.4530761060000001</v>
      </c>
      <c r="J9" s="4">
        <v>57.449019239999998</v>
      </c>
      <c r="K9">
        <v>21344</v>
      </c>
      <c r="L9">
        <v>30627</v>
      </c>
      <c r="M9">
        <v>219026</v>
      </c>
    </row>
    <row r="10" spans="1:14" x14ac:dyDescent="0.3">
      <c r="A10" t="s">
        <v>30</v>
      </c>
      <c r="B10">
        <v>60775</v>
      </c>
      <c r="C10">
        <v>9431</v>
      </c>
      <c r="D10">
        <v>26413</v>
      </c>
      <c r="E10">
        <v>77245</v>
      </c>
      <c r="F10">
        <v>2</v>
      </c>
      <c r="G10">
        <v>50830</v>
      </c>
      <c r="H10" s="8">
        <v>60.26864157</v>
      </c>
      <c r="I10" s="6">
        <v>9.2467578859999993</v>
      </c>
      <c r="J10" s="4">
        <v>50.221319489999999</v>
      </c>
      <c r="K10">
        <v>6037</v>
      </c>
      <c r="L10">
        <v>2198</v>
      </c>
      <c r="M10">
        <v>43109</v>
      </c>
    </row>
    <row r="11" spans="1:14" x14ac:dyDescent="0.3">
      <c r="A11" t="s">
        <v>84</v>
      </c>
      <c r="B11">
        <v>2486</v>
      </c>
      <c r="C11">
        <v>60</v>
      </c>
      <c r="D11">
        <v>1416</v>
      </c>
      <c r="E11">
        <v>2546</v>
      </c>
      <c r="F11">
        <v>0</v>
      </c>
      <c r="G11">
        <v>1130</v>
      </c>
      <c r="H11" s="8">
        <v>58.911962099999997</v>
      </c>
      <c r="I11" s="6">
        <v>2.1549295769999999</v>
      </c>
      <c r="J11" s="4">
        <v>70.302521010000007</v>
      </c>
      <c r="K11">
        <v>0</v>
      </c>
      <c r="L11">
        <v>2078</v>
      </c>
      <c r="M11">
        <v>348</v>
      </c>
    </row>
    <row r="12" spans="1:14" x14ac:dyDescent="0.3">
      <c r="A12" t="s">
        <v>77</v>
      </c>
      <c r="B12">
        <v>2483</v>
      </c>
      <c r="C12">
        <v>965</v>
      </c>
      <c r="D12">
        <v>1918</v>
      </c>
      <c r="E12">
        <v>3094</v>
      </c>
      <c r="F12">
        <v>9</v>
      </c>
      <c r="G12">
        <v>1167</v>
      </c>
      <c r="H12" s="8">
        <v>18.39492813</v>
      </c>
      <c r="I12" s="6">
        <v>56.026402640000001</v>
      </c>
      <c r="J12" s="4">
        <v>5.9565217390000003</v>
      </c>
      <c r="K12">
        <v>370</v>
      </c>
      <c r="L12">
        <v>950</v>
      </c>
      <c r="M12">
        <v>198</v>
      </c>
    </row>
    <row r="13" spans="1:14" x14ac:dyDescent="0.3">
      <c r="A13" t="s">
        <v>43</v>
      </c>
      <c r="B13">
        <v>184</v>
      </c>
      <c r="C13">
        <v>22</v>
      </c>
      <c r="D13">
        <v>81</v>
      </c>
      <c r="E13">
        <v>192</v>
      </c>
      <c r="F13">
        <v>0</v>
      </c>
      <c r="G13">
        <v>111</v>
      </c>
      <c r="H13" s="8">
        <v>43.122382199999997</v>
      </c>
      <c r="I13" s="6">
        <v>3.6470588240000001</v>
      </c>
      <c r="J13" s="4">
        <v>26.305555559999998</v>
      </c>
      <c r="K13">
        <v>3</v>
      </c>
      <c r="L13">
        <v>116</v>
      </c>
      <c r="M13">
        <v>43</v>
      </c>
    </row>
    <row r="14" spans="1:14" x14ac:dyDescent="0.3">
      <c r="A14" t="s">
        <v>39</v>
      </c>
      <c r="B14">
        <v>644822</v>
      </c>
      <c r="C14">
        <v>31748</v>
      </c>
      <c r="D14">
        <v>278886</v>
      </c>
      <c r="E14">
        <v>672073</v>
      </c>
      <c r="F14">
        <v>45</v>
      </c>
      <c r="G14">
        <v>393142</v>
      </c>
      <c r="H14" s="8">
        <v>62.326556920000002</v>
      </c>
      <c r="I14" s="6">
        <v>5.802124579</v>
      </c>
      <c r="J14" s="4">
        <v>26.076657699999998</v>
      </c>
      <c r="K14">
        <v>1285</v>
      </c>
      <c r="L14">
        <v>476070</v>
      </c>
      <c r="M14">
        <v>135719</v>
      </c>
    </row>
    <row r="15" spans="1:14" x14ac:dyDescent="0.3">
      <c r="A15" t="s">
        <v>44</v>
      </c>
      <c r="B15">
        <v>27051</v>
      </c>
      <c r="C15">
        <v>289</v>
      </c>
      <c r="D15">
        <v>14745</v>
      </c>
      <c r="E15">
        <v>27193</v>
      </c>
      <c r="F15">
        <v>1</v>
      </c>
      <c r="G15">
        <v>12447</v>
      </c>
      <c r="H15" s="8">
        <v>47.215869470000001</v>
      </c>
      <c r="I15" s="6">
        <v>7.5342465750000001</v>
      </c>
      <c r="J15" s="4">
        <v>72.895233910000002</v>
      </c>
      <c r="K15">
        <v>29</v>
      </c>
      <c r="L15">
        <v>20496</v>
      </c>
      <c r="M15">
        <v>6237</v>
      </c>
    </row>
    <row r="16" spans="1:14" x14ac:dyDescent="0.3">
      <c r="A16" t="s">
        <v>64</v>
      </c>
      <c r="B16">
        <v>2823</v>
      </c>
      <c r="C16">
        <v>31</v>
      </c>
      <c r="D16">
        <v>1449</v>
      </c>
      <c r="E16">
        <v>2887</v>
      </c>
      <c r="F16">
        <v>1</v>
      </c>
      <c r="G16">
        <v>1437</v>
      </c>
      <c r="H16" s="8">
        <v>22.612218210000002</v>
      </c>
      <c r="I16" s="6">
        <v>2.9279437609999999</v>
      </c>
      <c r="J16" s="4">
        <v>24.121794869999999</v>
      </c>
      <c r="K16">
        <v>6</v>
      </c>
      <c r="L16">
        <v>1300</v>
      </c>
      <c r="M16">
        <v>1486</v>
      </c>
    </row>
    <row r="17" spans="1:13" x14ac:dyDescent="0.3">
      <c r="A17" t="s">
        <v>80</v>
      </c>
      <c r="B17">
        <v>409243</v>
      </c>
      <c r="C17">
        <v>33462</v>
      </c>
      <c r="D17">
        <v>252026</v>
      </c>
      <c r="E17">
        <v>427425</v>
      </c>
      <c r="F17">
        <v>12</v>
      </c>
      <c r="G17">
        <v>175387</v>
      </c>
      <c r="H17" s="8">
        <v>63.066144370000004</v>
      </c>
      <c r="I17" s="6">
        <v>4.6614514959999998</v>
      </c>
      <c r="J17" s="4">
        <v>11.618091570000001</v>
      </c>
      <c r="K17">
        <v>341</v>
      </c>
      <c r="L17">
        <v>306477</v>
      </c>
      <c r="M17">
        <v>68963</v>
      </c>
    </row>
    <row r="18" spans="1:13" x14ac:dyDescent="0.3">
      <c r="A18" t="s">
        <v>41</v>
      </c>
      <c r="B18">
        <v>5182</v>
      </c>
      <c r="C18">
        <v>4356</v>
      </c>
      <c r="D18">
        <v>5185</v>
      </c>
      <c r="E18">
        <v>10157</v>
      </c>
      <c r="F18">
        <v>0</v>
      </c>
      <c r="G18">
        <v>4972</v>
      </c>
      <c r="H18" s="8">
        <v>62.380548570000002</v>
      </c>
      <c r="I18" s="6">
        <v>4.1774750230000004</v>
      </c>
      <c r="J18" s="4">
        <v>10.873449129999999</v>
      </c>
      <c r="K18">
        <v>7</v>
      </c>
      <c r="L18">
        <v>359</v>
      </c>
      <c r="M18">
        <v>460</v>
      </c>
    </row>
    <row r="19" spans="1:13" x14ac:dyDescent="0.3">
      <c r="A19" t="s">
        <v>40</v>
      </c>
      <c r="B19">
        <v>62</v>
      </c>
      <c r="C19">
        <v>4</v>
      </c>
      <c r="D19">
        <v>28</v>
      </c>
      <c r="E19">
        <v>68</v>
      </c>
      <c r="F19">
        <v>0</v>
      </c>
      <c r="G19">
        <v>40</v>
      </c>
      <c r="H19" s="8">
        <v>68.367647059999996</v>
      </c>
      <c r="I19" s="6">
        <v>2.375</v>
      </c>
      <c r="J19" s="4">
        <v>112.4</v>
      </c>
      <c r="K19">
        <v>0</v>
      </c>
      <c r="L19">
        <v>53</v>
      </c>
      <c r="M19">
        <v>5</v>
      </c>
    </row>
    <row r="20" spans="1:13" x14ac:dyDescent="0.3">
      <c r="A20" t="s">
        <v>93</v>
      </c>
      <c r="B20">
        <v>2522</v>
      </c>
      <c r="C20">
        <v>3</v>
      </c>
      <c r="D20">
        <v>1255</v>
      </c>
      <c r="E20">
        <v>2525</v>
      </c>
      <c r="F20">
        <v>0</v>
      </c>
      <c r="G20">
        <v>1270</v>
      </c>
      <c r="H20" s="8">
        <v>11.127380949999999</v>
      </c>
      <c r="I20" s="6">
        <v>0.167832168</v>
      </c>
      <c r="J20" s="4">
        <v>35.889077049999997</v>
      </c>
      <c r="K20">
        <v>0</v>
      </c>
      <c r="L20">
        <v>151</v>
      </c>
      <c r="M20">
        <v>2368</v>
      </c>
    </row>
    <row r="21" spans="1:13" x14ac:dyDescent="0.3">
      <c r="A21" t="s">
        <v>91</v>
      </c>
      <c r="B21">
        <v>1975</v>
      </c>
      <c r="C21">
        <v>221</v>
      </c>
      <c r="D21">
        <v>2250</v>
      </c>
      <c r="E21">
        <v>3775</v>
      </c>
      <c r="F21">
        <v>0</v>
      </c>
      <c r="G21">
        <v>1525</v>
      </c>
      <c r="H21" s="8">
        <v>76.779176519999993</v>
      </c>
      <c r="I21" s="6">
        <v>27.477589340000002</v>
      </c>
      <c r="J21" s="4">
        <v>33.623693379999999</v>
      </c>
      <c r="K21">
        <v>1354</v>
      </c>
      <c r="L21">
        <v>44</v>
      </c>
      <c r="M21">
        <v>356</v>
      </c>
    </row>
    <row r="22" spans="1:13" x14ac:dyDescent="0.3">
      <c r="A22" t="s">
        <v>34</v>
      </c>
      <c r="B22">
        <v>15025</v>
      </c>
      <c r="C22">
        <v>13339</v>
      </c>
      <c r="D22">
        <v>18347</v>
      </c>
      <c r="E22">
        <v>41144</v>
      </c>
      <c r="F22">
        <v>1</v>
      </c>
      <c r="G22">
        <v>22796</v>
      </c>
      <c r="H22" s="8">
        <v>54.086001600000003</v>
      </c>
      <c r="I22" s="6">
        <v>6.7565558120000002</v>
      </c>
      <c r="J22" s="4">
        <v>129.94705880000001</v>
      </c>
      <c r="K22">
        <v>740</v>
      </c>
      <c r="L22">
        <v>361</v>
      </c>
      <c r="M22">
        <v>585</v>
      </c>
    </row>
    <row r="23" spans="1:13" x14ac:dyDescent="0.3">
      <c r="A23" t="s">
        <v>69</v>
      </c>
      <c r="B23">
        <v>3765</v>
      </c>
      <c r="C23">
        <v>25</v>
      </c>
      <c r="D23">
        <v>2125</v>
      </c>
      <c r="E23">
        <v>3793</v>
      </c>
      <c r="F23">
        <v>2</v>
      </c>
      <c r="G23">
        <v>1666</v>
      </c>
      <c r="H23" s="8">
        <v>24.68211921</v>
      </c>
      <c r="I23" s="6">
        <v>1.040650407</v>
      </c>
      <c r="J23" s="4">
        <v>30.333605550000001</v>
      </c>
      <c r="K23">
        <v>2</v>
      </c>
      <c r="L23">
        <v>542</v>
      </c>
      <c r="M23">
        <v>3196</v>
      </c>
    </row>
    <row r="24" spans="1:13" x14ac:dyDescent="0.3">
      <c r="A24" t="s">
        <v>55</v>
      </c>
      <c r="B24">
        <v>148979</v>
      </c>
      <c r="C24">
        <v>1105</v>
      </c>
      <c r="D24">
        <v>72038</v>
      </c>
      <c r="E24">
        <v>149838</v>
      </c>
      <c r="F24">
        <v>13</v>
      </c>
      <c r="G24">
        <v>77787</v>
      </c>
      <c r="H24" s="8">
        <v>64.192358580000004</v>
      </c>
      <c r="I24" s="6">
        <v>7.4864864860000004</v>
      </c>
      <c r="J24" s="4">
        <v>52.181993869999999</v>
      </c>
      <c r="K24">
        <v>300</v>
      </c>
      <c r="L24">
        <v>11983</v>
      </c>
      <c r="M24">
        <v>135591</v>
      </c>
    </row>
    <row r="25" spans="1:13" x14ac:dyDescent="0.3">
      <c r="A25" t="s">
        <v>17</v>
      </c>
      <c r="B25">
        <v>335277</v>
      </c>
      <c r="C25">
        <v>93016</v>
      </c>
      <c r="D25">
        <v>164117</v>
      </c>
      <c r="E25">
        <v>346776</v>
      </c>
      <c r="F25">
        <v>36</v>
      </c>
      <c r="G25">
        <v>182623</v>
      </c>
      <c r="H25" s="8">
        <v>38.989275839999998</v>
      </c>
      <c r="I25" s="6">
        <v>1.8909878120000001</v>
      </c>
      <c r="J25" s="4">
        <v>79.129902110000003</v>
      </c>
      <c r="K25">
        <v>1262</v>
      </c>
      <c r="L25">
        <v>8553</v>
      </c>
      <c r="M25">
        <v>232446</v>
      </c>
    </row>
    <row r="26" spans="1:13" x14ac:dyDescent="0.3">
      <c r="A26" t="s">
        <v>38</v>
      </c>
      <c r="B26">
        <v>155779</v>
      </c>
      <c r="C26">
        <v>117748</v>
      </c>
      <c r="D26">
        <v>135972</v>
      </c>
      <c r="E26">
        <v>263015</v>
      </c>
      <c r="F26">
        <v>265</v>
      </c>
      <c r="G26">
        <v>126778</v>
      </c>
      <c r="H26" s="8">
        <v>62.920585500000001</v>
      </c>
      <c r="I26" s="6">
        <v>5.7076718130000001</v>
      </c>
      <c r="J26" s="4">
        <v>42.475331400000002</v>
      </c>
      <c r="K26">
        <v>386</v>
      </c>
      <c r="L26">
        <v>18245</v>
      </c>
      <c r="M26">
        <v>19400</v>
      </c>
    </row>
    <row r="27" spans="1:13" x14ac:dyDescent="0.3">
      <c r="A27" t="s">
        <v>24</v>
      </c>
      <c r="B27">
        <v>165</v>
      </c>
      <c r="C27">
        <v>160</v>
      </c>
      <c r="D27">
        <v>115</v>
      </c>
      <c r="E27">
        <v>228</v>
      </c>
      <c r="F27">
        <v>0</v>
      </c>
      <c r="G27">
        <v>113</v>
      </c>
      <c r="H27" s="8">
        <v>54.40707965</v>
      </c>
      <c r="I27" s="6">
        <v>4.2091503269999997</v>
      </c>
      <c r="J27" s="4">
        <v>47.4</v>
      </c>
      <c r="K27">
        <v>0</v>
      </c>
      <c r="L27">
        <v>0</v>
      </c>
      <c r="M27">
        <v>5</v>
      </c>
    </row>
    <row r="28" spans="1:13" x14ac:dyDescent="0.3">
      <c r="A28" t="s">
        <v>52</v>
      </c>
      <c r="B28">
        <v>1495</v>
      </c>
      <c r="C28">
        <v>755</v>
      </c>
      <c r="D28">
        <v>626</v>
      </c>
      <c r="E28">
        <v>2807</v>
      </c>
      <c r="F28">
        <v>0</v>
      </c>
      <c r="G28">
        <v>2181</v>
      </c>
      <c r="H28" s="8">
        <v>37.628191299999997</v>
      </c>
      <c r="I28" s="6">
        <v>372.89781019999998</v>
      </c>
      <c r="J28" s="4">
        <v>24.4</v>
      </c>
      <c r="K28">
        <v>115</v>
      </c>
      <c r="L28">
        <v>470</v>
      </c>
      <c r="M28">
        <v>155</v>
      </c>
    </row>
    <row r="29" spans="1:13" x14ac:dyDescent="0.3">
      <c r="A29" t="s">
        <v>37</v>
      </c>
      <c r="B29">
        <v>1224422</v>
      </c>
      <c r="C29">
        <v>99272</v>
      </c>
      <c r="D29">
        <v>748006</v>
      </c>
      <c r="E29">
        <v>1488192</v>
      </c>
      <c r="F29">
        <v>113</v>
      </c>
      <c r="G29">
        <v>740073</v>
      </c>
      <c r="H29" s="8">
        <v>57.932599680000003</v>
      </c>
      <c r="I29" s="6">
        <v>7.3328160320000002</v>
      </c>
      <c r="J29" s="4">
        <v>33.746837339999999</v>
      </c>
      <c r="K29">
        <v>1649</v>
      </c>
      <c r="L29">
        <v>256836</v>
      </c>
      <c r="M29">
        <v>866665</v>
      </c>
    </row>
    <row r="30" spans="1:13" x14ac:dyDescent="0.3">
      <c r="A30" t="s">
        <v>75</v>
      </c>
      <c r="B30">
        <v>459</v>
      </c>
      <c r="C30">
        <v>0</v>
      </c>
      <c r="D30">
        <v>209</v>
      </c>
      <c r="E30">
        <v>460</v>
      </c>
      <c r="F30">
        <v>0</v>
      </c>
      <c r="G30">
        <v>251</v>
      </c>
      <c r="H30" s="8">
        <v>9.7108695649999994</v>
      </c>
      <c r="I30" s="6">
        <v>0</v>
      </c>
      <c r="J30" s="4">
        <v>50.628820959999999</v>
      </c>
      <c r="K30">
        <v>0</v>
      </c>
      <c r="L30">
        <v>1</v>
      </c>
      <c r="M30">
        <v>458</v>
      </c>
    </row>
    <row r="31" spans="1:13" x14ac:dyDescent="0.3">
      <c r="A31" t="s">
        <v>74</v>
      </c>
      <c r="B31">
        <v>17904</v>
      </c>
      <c r="C31">
        <v>2911</v>
      </c>
      <c r="D31">
        <v>12953</v>
      </c>
      <c r="E31">
        <v>22295</v>
      </c>
      <c r="F31">
        <v>0</v>
      </c>
      <c r="G31">
        <v>9342</v>
      </c>
      <c r="H31" s="8">
        <v>80.792304389999998</v>
      </c>
      <c r="I31" s="6">
        <v>21.760890660000001</v>
      </c>
      <c r="J31" s="4">
        <v>61.05102041</v>
      </c>
      <c r="K31">
        <v>10538</v>
      </c>
      <c r="L31">
        <v>1926</v>
      </c>
      <c r="M31">
        <v>2529</v>
      </c>
    </row>
    <row r="32" spans="1:13" x14ac:dyDescent="0.3">
      <c r="A32" t="s">
        <v>36</v>
      </c>
      <c r="B32">
        <v>2374451</v>
      </c>
      <c r="C32">
        <v>1910528</v>
      </c>
      <c r="D32">
        <v>1806137</v>
      </c>
      <c r="E32">
        <v>3450599</v>
      </c>
      <c r="F32">
        <v>172</v>
      </c>
      <c r="G32">
        <v>1644290</v>
      </c>
      <c r="H32" s="8">
        <v>65.441200409999993</v>
      </c>
      <c r="I32" s="6">
        <v>4.2048428490000003</v>
      </c>
      <c r="J32" s="4">
        <v>31.089233409999999</v>
      </c>
      <c r="K32">
        <v>17467</v>
      </c>
      <c r="L32">
        <v>132009</v>
      </c>
      <c r="M32">
        <v>314447</v>
      </c>
    </row>
    <row r="33" spans="1:13" x14ac:dyDescent="0.3">
      <c r="A33" t="s">
        <v>82</v>
      </c>
      <c r="B33">
        <v>12</v>
      </c>
      <c r="C33">
        <v>0</v>
      </c>
      <c r="D33">
        <v>7</v>
      </c>
      <c r="E33">
        <v>12</v>
      </c>
      <c r="F33">
        <v>0</v>
      </c>
      <c r="G33">
        <v>5</v>
      </c>
      <c r="H33" s="8">
        <v>54.416666669999998</v>
      </c>
      <c r="I33" s="6">
        <f>I36</f>
        <v>11.152236390000001</v>
      </c>
      <c r="J33" s="4">
        <v>20.444444440000002</v>
      </c>
      <c r="K33">
        <v>0</v>
      </c>
      <c r="L33">
        <v>1</v>
      </c>
      <c r="M33">
        <v>11</v>
      </c>
    </row>
    <row r="34" spans="1:13" x14ac:dyDescent="0.3">
      <c r="A34" t="s">
        <v>14</v>
      </c>
      <c r="B34">
        <v>1848911</v>
      </c>
      <c r="C34">
        <v>726012</v>
      </c>
      <c r="D34">
        <v>1086628</v>
      </c>
      <c r="E34">
        <v>2051633</v>
      </c>
      <c r="F34">
        <v>184</v>
      </c>
      <c r="G34">
        <v>964821</v>
      </c>
      <c r="H34" s="8">
        <v>56.104570160000002</v>
      </c>
      <c r="I34" s="6">
        <v>3.7567015010000002</v>
      </c>
      <c r="J34" s="4">
        <v>50.846650339999997</v>
      </c>
      <c r="K34">
        <v>4299</v>
      </c>
      <c r="L34">
        <v>97960</v>
      </c>
      <c r="M34">
        <v>1020640</v>
      </c>
    </row>
    <row r="35" spans="1:13" x14ac:dyDescent="0.3">
      <c r="A35" t="s">
        <v>59</v>
      </c>
      <c r="B35">
        <v>1109</v>
      </c>
      <c r="C35">
        <v>168</v>
      </c>
      <c r="D35">
        <v>768</v>
      </c>
      <c r="E35">
        <v>1703</v>
      </c>
      <c r="F35">
        <v>1</v>
      </c>
      <c r="G35">
        <v>934</v>
      </c>
      <c r="H35" s="8">
        <v>50.031042130000003</v>
      </c>
      <c r="I35" s="6">
        <v>13.13501484</v>
      </c>
      <c r="J35" s="4">
        <v>57.787037040000001</v>
      </c>
      <c r="K35">
        <v>34</v>
      </c>
      <c r="L35">
        <v>352</v>
      </c>
      <c r="M35">
        <v>555</v>
      </c>
    </row>
    <row r="36" spans="1:13" x14ac:dyDescent="0.3">
      <c r="A36" t="s">
        <v>68</v>
      </c>
      <c r="B36">
        <v>421087</v>
      </c>
      <c r="C36">
        <v>387125</v>
      </c>
      <c r="D36">
        <v>583672</v>
      </c>
      <c r="E36">
        <v>1044791</v>
      </c>
      <c r="F36">
        <v>3162</v>
      </c>
      <c r="G36">
        <v>457957</v>
      </c>
      <c r="H36" s="8">
        <v>79.134609319999996</v>
      </c>
      <c r="I36" s="6">
        <v>11.152236390000001</v>
      </c>
      <c r="J36" s="4">
        <v>244.272988</v>
      </c>
      <c r="K36">
        <v>13363</v>
      </c>
      <c r="L36">
        <v>11490</v>
      </c>
      <c r="M36">
        <v>9109</v>
      </c>
    </row>
    <row r="37" spans="1:13" x14ac:dyDescent="0.3">
      <c r="A37" t="s">
        <v>49</v>
      </c>
      <c r="B37">
        <v>749446</v>
      </c>
      <c r="C37">
        <v>159773</v>
      </c>
      <c r="D37">
        <v>768843</v>
      </c>
      <c r="E37">
        <v>774035</v>
      </c>
      <c r="F37">
        <v>44</v>
      </c>
      <c r="G37">
        <v>5148</v>
      </c>
      <c r="H37" s="8">
        <v>36.264231510000002</v>
      </c>
      <c r="I37" s="6">
        <v>1.576359168</v>
      </c>
      <c r="J37" s="4">
        <v>62.626896860000002</v>
      </c>
      <c r="K37">
        <v>277576</v>
      </c>
      <c r="L37">
        <v>29873</v>
      </c>
      <c r="M37">
        <v>282224</v>
      </c>
    </row>
    <row r="38" spans="1:13" x14ac:dyDescent="0.3">
      <c r="A38" t="s">
        <v>85</v>
      </c>
      <c r="B38">
        <v>58682</v>
      </c>
      <c r="C38">
        <v>5112</v>
      </c>
      <c r="D38">
        <v>26640</v>
      </c>
      <c r="E38">
        <v>62661</v>
      </c>
      <c r="F38">
        <v>0</v>
      </c>
      <c r="G38">
        <v>36021</v>
      </c>
      <c r="H38" s="8">
        <v>59.085326500000001</v>
      </c>
      <c r="I38" s="6">
        <v>7.473364245</v>
      </c>
      <c r="J38" s="4">
        <v>21.93402261</v>
      </c>
      <c r="K38">
        <v>304</v>
      </c>
      <c r="L38">
        <v>34131</v>
      </c>
      <c r="M38">
        <v>19135</v>
      </c>
    </row>
    <row r="39" spans="1:13" x14ac:dyDescent="0.3">
      <c r="A39" t="s">
        <v>86</v>
      </c>
      <c r="B39">
        <v>258</v>
      </c>
      <c r="C39">
        <v>55</v>
      </c>
      <c r="D39">
        <v>143</v>
      </c>
      <c r="E39">
        <v>265</v>
      </c>
      <c r="F39">
        <v>0</v>
      </c>
      <c r="G39">
        <v>122</v>
      </c>
      <c r="H39" s="8">
        <v>61.098113210000001</v>
      </c>
      <c r="I39" s="6">
        <v>21.270270270000001</v>
      </c>
      <c r="J39" s="4">
        <v>14.4</v>
      </c>
      <c r="K39">
        <v>1</v>
      </c>
      <c r="L39">
        <v>6</v>
      </c>
      <c r="M39">
        <v>196</v>
      </c>
    </row>
    <row r="40" spans="1:13" x14ac:dyDescent="0.3">
      <c r="A40" t="s">
        <v>87</v>
      </c>
      <c r="B40">
        <v>3266</v>
      </c>
      <c r="C40">
        <v>17</v>
      </c>
      <c r="D40">
        <v>2056</v>
      </c>
      <c r="E40">
        <v>3274</v>
      </c>
      <c r="F40">
        <v>0</v>
      </c>
      <c r="G40">
        <v>1218</v>
      </c>
      <c r="H40" s="8">
        <v>52.144339619999997</v>
      </c>
      <c r="I40" s="6">
        <v>5.848484848</v>
      </c>
      <c r="J40" s="4">
        <v>54.694690270000002</v>
      </c>
      <c r="K40">
        <v>0</v>
      </c>
      <c r="L40">
        <v>2996</v>
      </c>
      <c r="M40">
        <v>253</v>
      </c>
    </row>
    <row r="41" spans="1:13" x14ac:dyDescent="0.3">
      <c r="A41" t="s">
        <v>57</v>
      </c>
      <c r="B41">
        <v>24492</v>
      </c>
      <c r="C41">
        <v>17854</v>
      </c>
      <c r="D41">
        <v>22327</v>
      </c>
      <c r="E41">
        <v>47476</v>
      </c>
      <c r="F41">
        <v>5</v>
      </c>
      <c r="G41">
        <v>25144</v>
      </c>
      <c r="H41" s="8">
        <v>59.236819089999997</v>
      </c>
      <c r="I41" s="6">
        <v>6.9532539619999998</v>
      </c>
      <c r="J41" s="4">
        <v>18.416666670000001</v>
      </c>
      <c r="K41">
        <v>274</v>
      </c>
      <c r="L41">
        <v>5356</v>
      </c>
      <c r="M41">
        <v>1008</v>
      </c>
    </row>
    <row r="42" spans="1:13" x14ac:dyDescent="0.3">
      <c r="A42" t="s">
        <v>76</v>
      </c>
      <c r="B42">
        <v>5297</v>
      </c>
      <c r="C42">
        <v>525</v>
      </c>
      <c r="D42">
        <v>1954</v>
      </c>
      <c r="E42">
        <v>5517</v>
      </c>
      <c r="F42">
        <v>371</v>
      </c>
      <c r="G42">
        <v>3192</v>
      </c>
      <c r="H42" s="8">
        <v>28.527299110000001</v>
      </c>
      <c r="I42" s="6">
        <v>31.160353780000001</v>
      </c>
      <c r="J42" s="4">
        <v>32.959459459999998</v>
      </c>
      <c r="K42">
        <v>642</v>
      </c>
      <c r="L42">
        <v>3041</v>
      </c>
      <c r="M42">
        <v>1089</v>
      </c>
    </row>
    <row r="43" spans="1:13" x14ac:dyDescent="0.3">
      <c r="A43" t="s">
        <v>88</v>
      </c>
      <c r="B43">
        <v>170</v>
      </c>
      <c r="C43">
        <v>42</v>
      </c>
      <c r="D43">
        <v>155</v>
      </c>
      <c r="E43">
        <v>319</v>
      </c>
      <c r="F43">
        <v>0</v>
      </c>
      <c r="G43">
        <v>164</v>
      </c>
      <c r="H43" s="8">
        <v>64.396666670000002</v>
      </c>
      <c r="I43" s="6">
        <v>12.468085110000001</v>
      </c>
      <c r="J43" s="4">
        <f>J36</f>
        <v>244.272988</v>
      </c>
      <c r="K43">
        <v>0</v>
      </c>
      <c r="L43">
        <v>105</v>
      </c>
      <c r="M43">
        <v>23</v>
      </c>
    </row>
    <row r="44" spans="1:13" x14ac:dyDescent="0.3">
      <c r="A44" t="s">
        <v>89</v>
      </c>
      <c r="B44">
        <v>30</v>
      </c>
      <c r="C44">
        <v>22</v>
      </c>
      <c r="D44">
        <v>51</v>
      </c>
      <c r="E44">
        <v>116</v>
      </c>
      <c r="F44">
        <v>0</v>
      </c>
      <c r="G44">
        <v>65</v>
      </c>
      <c r="H44" s="8">
        <v>57.542857140000002</v>
      </c>
      <c r="I44" s="6">
        <v>9.0476190479999996</v>
      </c>
      <c r="J44" s="4">
        <f>23</f>
        <v>23</v>
      </c>
      <c r="K44">
        <v>5</v>
      </c>
      <c r="L44">
        <v>2</v>
      </c>
      <c r="M44">
        <v>1</v>
      </c>
    </row>
    <row r="45" spans="1:13" x14ac:dyDescent="0.3">
      <c r="A45" t="s">
        <v>61</v>
      </c>
      <c r="B45">
        <v>388654</v>
      </c>
      <c r="C45">
        <v>36000</v>
      </c>
      <c r="D45">
        <v>250707</v>
      </c>
      <c r="E45">
        <v>400374</v>
      </c>
      <c r="F45">
        <v>10</v>
      </c>
      <c r="G45">
        <v>149657</v>
      </c>
      <c r="H45" s="8">
        <v>60.972558419999999</v>
      </c>
      <c r="I45" s="6">
        <v>3.9979761310000002</v>
      </c>
      <c r="J45" s="4">
        <v>19.851240950000001</v>
      </c>
      <c r="K45">
        <v>850</v>
      </c>
      <c r="L45">
        <v>272168</v>
      </c>
      <c r="M45">
        <v>79636</v>
      </c>
    </row>
    <row r="46" spans="1:13" x14ac:dyDescent="0.3">
      <c r="A46" t="s">
        <v>71</v>
      </c>
      <c r="B46">
        <v>68</v>
      </c>
      <c r="C46">
        <v>10</v>
      </c>
      <c r="D46">
        <v>47</v>
      </c>
      <c r="E46">
        <v>72</v>
      </c>
      <c r="F46">
        <v>0</v>
      </c>
      <c r="G46">
        <v>25</v>
      </c>
      <c r="H46" s="8">
        <v>51.708333330000002</v>
      </c>
      <c r="I46" s="6">
        <v>2.1666666669999999</v>
      </c>
      <c r="J46" s="4">
        <v>39.625</v>
      </c>
      <c r="K46">
        <v>0</v>
      </c>
      <c r="L46">
        <v>30</v>
      </c>
      <c r="M46">
        <v>28</v>
      </c>
    </row>
    <row r="47" spans="1:13" x14ac:dyDescent="0.3">
      <c r="A47" t="s">
        <v>90</v>
      </c>
      <c r="B47">
        <v>0</v>
      </c>
      <c r="C47">
        <v>0</v>
      </c>
      <c r="D47">
        <v>0</v>
      </c>
      <c r="E47">
        <v>3</v>
      </c>
      <c r="F47">
        <v>0</v>
      </c>
      <c r="G47">
        <v>3</v>
      </c>
      <c r="I47" s="6">
        <v>6.5</v>
      </c>
      <c r="J47" s="4">
        <v>23</v>
      </c>
      <c r="K47">
        <v>0</v>
      </c>
      <c r="L47">
        <v>0</v>
      </c>
      <c r="M47">
        <v>0</v>
      </c>
    </row>
    <row r="48" spans="1:13" x14ac:dyDescent="0.3">
      <c r="A48" t="s">
        <v>50</v>
      </c>
      <c r="B48">
        <v>299400</v>
      </c>
      <c r="C48">
        <v>9192</v>
      </c>
      <c r="D48">
        <v>278147</v>
      </c>
      <c r="E48">
        <v>307213</v>
      </c>
      <c r="F48">
        <v>11</v>
      </c>
      <c r="G48">
        <v>29055</v>
      </c>
      <c r="H48" s="8">
        <v>23.839852759999999</v>
      </c>
      <c r="I48" s="6">
        <v>1.030592095</v>
      </c>
      <c r="J48" s="4">
        <v>17.407407410000001</v>
      </c>
      <c r="K48">
        <v>289487</v>
      </c>
      <c r="L48">
        <v>252</v>
      </c>
      <c r="M48">
        <v>469</v>
      </c>
    </row>
    <row r="49" spans="1:13" x14ac:dyDescent="0.3">
      <c r="A49" t="s">
        <v>60</v>
      </c>
      <c r="B49">
        <v>137792</v>
      </c>
      <c r="C49">
        <v>73124</v>
      </c>
      <c r="D49">
        <v>102753</v>
      </c>
      <c r="E49">
        <v>222531</v>
      </c>
      <c r="F49">
        <v>7</v>
      </c>
      <c r="G49">
        <v>119771</v>
      </c>
      <c r="H49" s="8">
        <v>60.861916209999997</v>
      </c>
      <c r="I49" s="6">
        <v>6.6668585409999999</v>
      </c>
      <c r="J49" s="4">
        <v>36.278598860000002</v>
      </c>
      <c r="K49">
        <v>2814</v>
      </c>
      <c r="L49">
        <v>28789</v>
      </c>
      <c r="M49">
        <v>33065</v>
      </c>
    </row>
    <row r="50" spans="1:13" x14ac:dyDescent="0.3">
      <c r="A50" t="s">
        <v>63</v>
      </c>
      <c r="B50">
        <v>149829</v>
      </c>
      <c r="C50">
        <v>30926</v>
      </c>
      <c r="D50">
        <v>99804</v>
      </c>
      <c r="E50">
        <v>179545</v>
      </c>
      <c r="F50">
        <v>30</v>
      </c>
      <c r="G50">
        <v>79711</v>
      </c>
      <c r="H50" s="8">
        <v>52.952445640000001</v>
      </c>
      <c r="I50" s="6">
        <v>9.7196392619999994</v>
      </c>
      <c r="J50" s="4">
        <v>48.379477909999999</v>
      </c>
      <c r="K50">
        <v>2089</v>
      </c>
      <c r="L50">
        <v>66707</v>
      </c>
      <c r="M50">
        <v>50107</v>
      </c>
    </row>
    <row r="51" spans="1:13" x14ac:dyDescent="0.3">
      <c r="A51" t="s">
        <v>28</v>
      </c>
      <c r="B51">
        <v>86848</v>
      </c>
      <c r="C51">
        <v>25047</v>
      </c>
      <c r="D51">
        <v>51126</v>
      </c>
      <c r="E51">
        <v>105004</v>
      </c>
      <c r="F51">
        <v>11</v>
      </c>
      <c r="G51">
        <v>53867</v>
      </c>
      <c r="H51" s="8">
        <v>50.469305910000003</v>
      </c>
      <c r="I51" s="6">
        <v>7.5456937399999999</v>
      </c>
      <c r="J51" s="4">
        <v>70.206568840000003</v>
      </c>
      <c r="K51">
        <v>5088</v>
      </c>
      <c r="L51">
        <v>7871</v>
      </c>
      <c r="M51">
        <v>48842</v>
      </c>
    </row>
    <row r="52" spans="1:13" x14ac:dyDescent="0.3">
      <c r="A52" t="s">
        <v>73</v>
      </c>
      <c r="B52">
        <v>548</v>
      </c>
      <c r="C52">
        <v>399</v>
      </c>
      <c r="D52">
        <v>388</v>
      </c>
      <c r="E52">
        <v>790</v>
      </c>
      <c r="F52">
        <v>0</v>
      </c>
      <c r="G52">
        <v>402</v>
      </c>
      <c r="H52" s="8">
        <v>45.819598480000003</v>
      </c>
      <c r="I52" s="6">
        <v>73.191198790000001</v>
      </c>
      <c r="J52" s="4">
        <v>23</v>
      </c>
      <c r="K52">
        <v>146</v>
      </c>
      <c r="L52">
        <v>1</v>
      </c>
      <c r="M52">
        <v>2</v>
      </c>
    </row>
    <row r="53" spans="1:13" x14ac:dyDescent="0.3">
      <c r="A53" t="s">
        <v>35</v>
      </c>
      <c r="B53">
        <v>81</v>
      </c>
      <c r="C53">
        <v>32</v>
      </c>
      <c r="D53">
        <v>139</v>
      </c>
      <c r="E53">
        <v>215</v>
      </c>
      <c r="F53">
        <v>0</v>
      </c>
      <c r="G53">
        <v>76</v>
      </c>
      <c r="H53" s="8">
        <v>48.439252340000003</v>
      </c>
      <c r="I53" s="6">
        <v>64.460732980000003</v>
      </c>
      <c r="J53" s="4">
        <v>23</v>
      </c>
      <c r="K53">
        <v>4</v>
      </c>
      <c r="L53">
        <v>40</v>
      </c>
      <c r="M53">
        <v>5</v>
      </c>
    </row>
    <row r="54" spans="1:13" x14ac:dyDescent="0.3">
      <c r="A54" t="s">
        <v>98</v>
      </c>
      <c r="B54">
        <v>2307</v>
      </c>
      <c r="C54">
        <v>874</v>
      </c>
      <c r="D54">
        <v>1342</v>
      </c>
      <c r="E54">
        <v>2497</v>
      </c>
      <c r="F54">
        <v>2</v>
      </c>
      <c r="G54">
        <v>1153</v>
      </c>
      <c r="H54" s="8">
        <v>61.884435170000003</v>
      </c>
      <c r="I54" s="6">
        <v>33.994724220000002</v>
      </c>
      <c r="J54" s="4">
        <v>67.083333330000002</v>
      </c>
      <c r="K54">
        <v>911</v>
      </c>
      <c r="L54">
        <v>400</v>
      </c>
      <c r="M54">
        <v>122</v>
      </c>
    </row>
    <row r="55" spans="1:13" x14ac:dyDescent="0.3">
      <c r="A55" t="s">
        <v>62</v>
      </c>
      <c r="B55">
        <v>2255</v>
      </c>
      <c r="C55">
        <v>8</v>
      </c>
      <c r="D55">
        <v>1781</v>
      </c>
      <c r="E55">
        <v>2264</v>
      </c>
      <c r="F55">
        <v>0</v>
      </c>
      <c r="G55">
        <v>483</v>
      </c>
      <c r="H55" s="8">
        <v>70.292219279999998</v>
      </c>
      <c r="I55" s="6">
        <v>1.4337606839999999</v>
      </c>
      <c r="J55" s="4">
        <v>21.1076555</v>
      </c>
      <c r="K55">
        <v>2</v>
      </c>
      <c r="L55">
        <v>1798</v>
      </c>
      <c r="M55">
        <v>447</v>
      </c>
    </row>
    <row r="56" spans="1:13" x14ac:dyDescent="0.3">
      <c r="A56" t="s">
        <v>96</v>
      </c>
      <c r="B56">
        <v>54041</v>
      </c>
      <c r="C56">
        <v>1471</v>
      </c>
      <c r="D56">
        <v>31000</v>
      </c>
      <c r="E56">
        <v>57699</v>
      </c>
      <c r="F56">
        <v>5</v>
      </c>
      <c r="G56">
        <v>26694</v>
      </c>
      <c r="H56" s="8">
        <v>59.023786919999999</v>
      </c>
      <c r="I56" s="6">
        <v>18.513421180000002</v>
      </c>
      <c r="J56" s="4">
        <v>26.33966509</v>
      </c>
      <c r="K56">
        <v>3950</v>
      </c>
      <c r="L56">
        <v>12617</v>
      </c>
      <c r="M56">
        <v>36003</v>
      </c>
    </row>
    <row r="57" spans="1:13" x14ac:dyDescent="0.3">
      <c r="A57" t="s">
        <v>72</v>
      </c>
      <c r="B57">
        <v>717466</v>
      </c>
      <c r="C57">
        <v>37190</v>
      </c>
      <c r="D57">
        <v>735136</v>
      </c>
      <c r="E57">
        <v>749276</v>
      </c>
      <c r="F57">
        <v>25</v>
      </c>
      <c r="G57">
        <v>14115</v>
      </c>
      <c r="H57" s="8">
        <v>29.726331559999998</v>
      </c>
      <c r="I57" s="6">
        <v>1.618174397</v>
      </c>
      <c r="J57" s="4">
        <v>57.29386023</v>
      </c>
      <c r="K57">
        <v>626215</v>
      </c>
      <c r="L57">
        <v>7398</v>
      </c>
      <c r="M57">
        <v>46663</v>
      </c>
    </row>
    <row r="58" spans="1:13" x14ac:dyDescent="0.3">
      <c r="A58" t="s">
        <v>92</v>
      </c>
      <c r="B58">
        <v>4</v>
      </c>
      <c r="C58">
        <v>0</v>
      </c>
      <c r="D58">
        <v>2</v>
      </c>
      <c r="E58">
        <v>5</v>
      </c>
      <c r="F58">
        <v>0</v>
      </c>
      <c r="G58">
        <v>3</v>
      </c>
      <c r="H58" s="8">
        <v>44.466799999999999</v>
      </c>
      <c r="I58" s="6">
        <v>8.5</v>
      </c>
      <c r="J58" s="4">
        <v>23</v>
      </c>
      <c r="K58">
        <v>1</v>
      </c>
      <c r="L58">
        <v>0</v>
      </c>
      <c r="M58">
        <v>3</v>
      </c>
    </row>
    <row r="59" spans="1:13" x14ac:dyDescent="0.3">
      <c r="A59" t="s">
        <v>79</v>
      </c>
      <c r="B59">
        <v>9623</v>
      </c>
      <c r="C59">
        <v>5536</v>
      </c>
      <c r="D59">
        <v>7233</v>
      </c>
      <c r="E59">
        <v>13343</v>
      </c>
      <c r="F59">
        <v>4</v>
      </c>
      <c r="G59">
        <v>6106</v>
      </c>
      <c r="H59" s="8">
        <v>73.027611039999996</v>
      </c>
      <c r="I59" s="6">
        <v>82.120540020000007</v>
      </c>
      <c r="J59" s="4">
        <v>7</v>
      </c>
      <c r="K59">
        <v>1206</v>
      </c>
      <c r="L59">
        <v>2061</v>
      </c>
      <c r="M59">
        <v>820</v>
      </c>
    </row>
    <row r="60" spans="1:13" x14ac:dyDescent="0.3">
      <c r="A60" t="s">
        <v>18</v>
      </c>
      <c r="B60">
        <v>776740</v>
      </c>
      <c r="C60">
        <v>16836</v>
      </c>
      <c r="D60">
        <v>429626</v>
      </c>
      <c r="E60">
        <v>782876</v>
      </c>
      <c r="F60">
        <v>3791</v>
      </c>
      <c r="G60">
        <v>349459</v>
      </c>
      <c r="H60" s="8">
        <v>70.765592269999999</v>
      </c>
      <c r="I60" s="6">
        <v>1.3754263149999999</v>
      </c>
      <c r="J60" s="4">
        <v>77.676207739999995</v>
      </c>
      <c r="K60">
        <v>4044</v>
      </c>
      <c r="L60">
        <v>110697</v>
      </c>
      <c r="M60">
        <v>645163</v>
      </c>
    </row>
    <row r="61" spans="1:13" x14ac:dyDescent="0.3">
      <c r="A61" t="s">
        <v>23</v>
      </c>
      <c r="B61">
        <v>103285</v>
      </c>
      <c r="C61">
        <v>17433</v>
      </c>
      <c r="D61">
        <v>52071</v>
      </c>
      <c r="E61">
        <v>105304</v>
      </c>
      <c r="F61">
        <v>8</v>
      </c>
      <c r="G61">
        <v>53225</v>
      </c>
      <c r="H61" s="8">
        <v>42.839407739999999</v>
      </c>
      <c r="I61" s="6">
        <v>1.9231287480000001</v>
      </c>
      <c r="J61" s="4">
        <v>68.979177160000006</v>
      </c>
      <c r="K61">
        <v>118</v>
      </c>
      <c r="L61">
        <v>3205</v>
      </c>
      <c r="M61">
        <v>82529</v>
      </c>
    </row>
    <row r="62" spans="1:13" x14ac:dyDescent="0.3">
      <c r="A62" t="s">
        <v>19</v>
      </c>
      <c r="B62">
        <v>171969</v>
      </c>
      <c r="C62">
        <v>13645</v>
      </c>
      <c r="D62">
        <v>90145</v>
      </c>
      <c r="E62">
        <v>174716</v>
      </c>
      <c r="F62">
        <v>81</v>
      </c>
      <c r="G62">
        <v>84490</v>
      </c>
      <c r="H62" s="8">
        <v>41.536791770000001</v>
      </c>
      <c r="I62" s="6">
        <v>1.596183262</v>
      </c>
      <c r="J62" s="4">
        <v>70.386674369999994</v>
      </c>
      <c r="K62">
        <v>223</v>
      </c>
      <c r="L62">
        <v>6796</v>
      </c>
      <c r="M62">
        <v>151305</v>
      </c>
    </row>
    <row r="63" spans="1:13" x14ac:dyDescent="0.3">
      <c r="A63" t="s">
        <v>22</v>
      </c>
      <c r="B63">
        <v>421</v>
      </c>
      <c r="C63">
        <v>35</v>
      </c>
      <c r="D63">
        <v>254</v>
      </c>
      <c r="E63">
        <v>435</v>
      </c>
      <c r="F63">
        <v>0</v>
      </c>
      <c r="G63">
        <v>181</v>
      </c>
      <c r="H63" s="8">
        <v>20.83448276</v>
      </c>
      <c r="I63" s="6">
        <v>0.76363636400000001</v>
      </c>
      <c r="J63" s="4">
        <v>161.75073309999999</v>
      </c>
      <c r="K63">
        <v>0</v>
      </c>
      <c r="L63">
        <v>19</v>
      </c>
      <c r="M63">
        <v>367</v>
      </c>
    </row>
    <row r="64" spans="1:13" x14ac:dyDescent="0.3">
      <c r="A64" t="s">
        <v>48</v>
      </c>
      <c r="B64">
        <v>13033</v>
      </c>
      <c r="C64">
        <v>1935</v>
      </c>
      <c r="D64">
        <v>7621</v>
      </c>
      <c r="E64">
        <v>16469</v>
      </c>
      <c r="F64">
        <v>0</v>
      </c>
      <c r="G64">
        <v>8848</v>
      </c>
      <c r="H64" s="8">
        <v>7.6792391450000004</v>
      </c>
      <c r="I64" s="6">
        <v>5.8181101479999997</v>
      </c>
      <c r="J64" s="4">
        <v>68.808692039999997</v>
      </c>
      <c r="K64">
        <v>1859</v>
      </c>
      <c r="L64">
        <v>3167</v>
      </c>
      <c r="M64">
        <v>6072</v>
      </c>
    </row>
    <row r="65" spans="1:13" x14ac:dyDescent="0.3">
      <c r="A65" t="s">
        <v>21</v>
      </c>
      <c r="B65">
        <v>20952</v>
      </c>
      <c r="C65">
        <v>60</v>
      </c>
      <c r="D65">
        <v>9897</v>
      </c>
      <c r="E65">
        <v>20974</v>
      </c>
      <c r="F65">
        <v>8</v>
      </c>
      <c r="G65">
        <v>11069</v>
      </c>
      <c r="H65" s="8">
        <v>7.8356958759999999</v>
      </c>
      <c r="I65" s="6">
        <v>0.96237864100000003</v>
      </c>
      <c r="J65" s="4">
        <v>77.971010089999993</v>
      </c>
      <c r="K65">
        <v>6</v>
      </c>
      <c r="L65">
        <v>4593</v>
      </c>
      <c r="M65">
        <v>16293</v>
      </c>
    </row>
    <row r="66" spans="1:13" x14ac:dyDescent="0.3">
      <c r="A66" t="s">
        <v>67</v>
      </c>
      <c r="B66">
        <v>10845</v>
      </c>
      <c r="C66">
        <v>1197</v>
      </c>
      <c r="D66">
        <v>5225</v>
      </c>
      <c r="E66">
        <v>11833</v>
      </c>
      <c r="F66">
        <v>2</v>
      </c>
      <c r="G66">
        <v>6606</v>
      </c>
      <c r="H66" s="8">
        <v>7.7167586210000003</v>
      </c>
      <c r="I66" s="6">
        <v>6.4813139260000003</v>
      </c>
      <c r="J66" s="4">
        <v>50.622919179999997</v>
      </c>
      <c r="K66">
        <v>156</v>
      </c>
      <c r="L66">
        <v>4715</v>
      </c>
      <c r="M66">
        <v>4777</v>
      </c>
    </row>
    <row r="67" spans="1:13" x14ac:dyDescent="0.3">
      <c r="A67" t="s">
        <v>31</v>
      </c>
      <c r="B67">
        <v>55867</v>
      </c>
      <c r="C67">
        <v>16382</v>
      </c>
      <c r="D67">
        <v>20780</v>
      </c>
      <c r="E67">
        <v>61608</v>
      </c>
      <c r="F67">
        <v>1</v>
      </c>
      <c r="G67">
        <v>40827</v>
      </c>
      <c r="H67" s="8">
        <v>6.747989842</v>
      </c>
      <c r="I67" s="6">
        <v>3.286552914</v>
      </c>
      <c r="J67" s="4">
        <v>78.618262659999999</v>
      </c>
      <c r="K67">
        <v>2579</v>
      </c>
      <c r="L67">
        <v>6763</v>
      </c>
      <c r="M67">
        <v>30143</v>
      </c>
    </row>
    <row r="68" spans="1:13" x14ac:dyDescent="0.3">
      <c r="A68" t="s">
        <v>66</v>
      </c>
      <c r="B68">
        <v>1403182</v>
      </c>
      <c r="C68">
        <v>714407</v>
      </c>
      <c r="D68">
        <v>701736</v>
      </c>
      <c r="E68">
        <v>1500564</v>
      </c>
      <c r="F68">
        <v>382</v>
      </c>
      <c r="G68">
        <v>798446</v>
      </c>
      <c r="H68" s="8">
        <v>3.039093394</v>
      </c>
      <c r="I68" s="6">
        <v>2.0355626739999999</v>
      </c>
      <c r="J68" s="4">
        <v>41.300668109999997</v>
      </c>
      <c r="K68">
        <v>526312</v>
      </c>
      <c r="L68">
        <v>88367</v>
      </c>
      <c r="M68">
        <v>74096</v>
      </c>
    </row>
    <row r="69" spans="1:13" x14ac:dyDescent="0.3">
      <c r="A69" t="s">
        <v>46</v>
      </c>
      <c r="B69">
        <v>5703</v>
      </c>
      <c r="C69">
        <v>2650</v>
      </c>
      <c r="D69">
        <v>5126</v>
      </c>
      <c r="E69">
        <v>10477</v>
      </c>
      <c r="F69">
        <v>400</v>
      </c>
      <c r="G69">
        <v>4951</v>
      </c>
      <c r="H69" s="8">
        <v>71.885094710000004</v>
      </c>
      <c r="I69" s="6">
        <v>17.55307912</v>
      </c>
      <c r="J69" s="4">
        <v>18.276595749999998</v>
      </c>
      <c r="K69">
        <v>380</v>
      </c>
      <c r="L69">
        <v>2461</v>
      </c>
      <c r="M69">
        <v>212</v>
      </c>
    </row>
    <row r="70" spans="1:13" x14ac:dyDescent="0.3">
      <c r="A70" t="s">
        <v>25</v>
      </c>
      <c r="B70">
        <v>515</v>
      </c>
      <c r="C70">
        <v>0</v>
      </c>
      <c r="D70">
        <v>321</v>
      </c>
      <c r="E70">
        <v>517</v>
      </c>
      <c r="F70">
        <v>0</v>
      </c>
      <c r="G70">
        <v>196</v>
      </c>
      <c r="H70" s="8">
        <v>44.14951456</v>
      </c>
      <c r="I70" s="6">
        <v>0.4</v>
      </c>
      <c r="J70" s="4">
        <v>23</v>
      </c>
      <c r="K70">
        <v>1</v>
      </c>
      <c r="L70">
        <v>451</v>
      </c>
      <c r="M70">
        <v>63</v>
      </c>
    </row>
    <row r="71" spans="1:13" x14ac:dyDescent="0.3">
      <c r="A71" t="s">
        <v>29</v>
      </c>
      <c r="B71">
        <v>263522</v>
      </c>
      <c r="C71">
        <v>59421</v>
      </c>
      <c r="D71">
        <v>119323</v>
      </c>
      <c r="E71">
        <v>269455</v>
      </c>
      <c r="F71">
        <v>29</v>
      </c>
      <c r="G71">
        <v>150103</v>
      </c>
      <c r="H71" s="8">
        <v>50.78295877</v>
      </c>
      <c r="I71" s="6">
        <v>2.2116466789999998</v>
      </c>
      <c r="J71" s="4">
        <v>60.369697010000003</v>
      </c>
      <c r="K71">
        <v>946</v>
      </c>
      <c r="L71">
        <v>13852</v>
      </c>
      <c r="M71">
        <v>189303</v>
      </c>
    </row>
    <row r="72" spans="1:13" x14ac:dyDescent="0.3">
      <c r="A72" t="s">
        <v>26</v>
      </c>
      <c r="B72">
        <v>9</v>
      </c>
      <c r="C72">
        <v>0</v>
      </c>
      <c r="D72">
        <v>6</v>
      </c>
      <c r="E72">
        <v>9</v>
      </c>
      <c r="F72">
        <v>0</v>
      </c>
      <c r="G72">
        <v>3</v>
      </c>
      <c r="H72" s="8">
        <v>47</v>
      </c>
      <c r="J72" s="4">
        <v>54.222222219999999</v>
      </c>
      <c r="K72">
        <v>0</v>
      </c>
      <c r="L72">
        <v>0</v>
      </c>
      <c r="M72">
        <v>9</v>
      </c>
    </row>
    <row r="73" spans="1:13" x14ac:dyDescent="0.3">
      <c r="A73" t="s">
        <v>78</v>
      </c>
      <c r="B73">
        <v>200</v>
      </c>
      <c r="C73">
        <v>13</v>
      </c>
      <c r="D73">
        <v>145</v>
      </c>
      <c r="E73">
        <v>201</v>
      </c>
      <c r="F73">
        <v>0</v>
      </c>
      <c r="G73">
        <v>56</v>
      </c>
      <c r="H73" s="8">
        <v>50.497512440000001</v>
      </c>
      <c r="I73" s="6">
        <v>0.73333333300000003</v>
      </c>
      <c r="J73" s="4">
        <v>5</v>
      </c>
      <c r="K73">
        <v>1</v>
      </c>
      <c r="L73">
        <v>82</v>
      </c>
      <c r="M73">
        <v>104</v>
      </c>
    </row>
    <row r="74" spans="1:13" x14ac:dyDescent="0.3">
      <c r="A74" t="s">
        <v>95</v>
      </c>
      <c r="B74">
        <v>486</v>
      </c>
      <c r="C74">
        <v>9</v>
      </c>
      <c r="D74">
        <v>222</v>
      </c>
      <c r="E74">
        <v>486</v>
      </c>
      <c r="F74">
        <v>0</v>
      </c>
      <c r="G74">
        <v>264</v>
      </c>
      <c r="H74" s="8">
        <v>10.81893004</v>
      </c>
      <c r="I74" s="6">
        <v>0.52631578899999998</v>
      </c>
      <c r="J74" s="4">
        <v>23.347732180000001</v>
      </c>
      <c r="K74">
        <v>0</v>
      </c>
      <c r="L74">
        <v>1</v>
      </c>
      <c r="M74">
        <v>476</v>
      </c>
    </row>
    <row r="75" spans="1:13" x14ac:dyDescent="0.3">
      <c r="A75" t="s">
        <v>94</v>
      </c>
      <c r="B75">
        <v>531</v>
      </c>
      <c r="C75">
        <v>0</v>
      </c>
      <c r="D75">
        <v>106</v>
      </c>
      <c r="E75">
        <v>562</v>
      </c>
      <c r="F75">
        <v>0</v>
      </c>
      <c r="G75">
        <v>456</v>
      </c>
      <c r="H75" s="8">
        <v>52.485765129999997</v>
      </c>
      <c r="I75" s="6">
        <v>35.655172409999999</v>
      </c>
      <c r="J75" s="4">
        <v>71.447674419999998</v>
      </c>
      <c r="K75">
        <v>183</v>
      </c>
      <c r="L75">
        <v>4</v>
      </c>
      <c r="M75">
        <v>344</v>
      </c>
    </row>
    <row r="76" spans="1:13" x14ac:dyDescent="0.3">
      <c r="A76" t="s">
        <v>81</v>
      </c>
      <c r="B76">
        <v>78216</v>
      </c>
      <c r="C76">
        <v>1020</v>
      </c>
      <c r="D76">
        <v>48886</v>
      </c>
      <c r="E76">
        <v>92503</v>
      </c>
      <c r="F76">
        <v>8</v>
      </c>
      <c r="G76">
        <v>43609</v>
      </c>
      <c r="H76" s="8">
        <v>57.530534199999998</v>
      </c>
      <c r="I76" s="6">
        <v>1.79492363</v>
      </c>
      <c r="J76" s="4">
        <v>39.057287170000002</v>
      </c>
      <c r="K76">
        <v>88</v>
      </c>
      <c r="L76">
        <v>11080</v>
      </c>
      <c r="M76">
        <v>66028</v>
      </c>
    </row>
    <row r="77" spans="1:13" x14ac:dyDescent="0.3">
      <c r="A77" t="s">
        <v>45</v>
      </c>
      <c r="B77">
        <v>25300</v>
      </c>
      <c r="C77">
        <v>8564</v>
      </c>
      <c r="D77">
        <v>21798</v>
      </c>
      <c r="E77">
        <v>42069</v>
      </c>
      <c r="F77">
        <v>215</v>
      </c>
      <c r="G77">
        <v>20056</v>
      </c>
      <c r="H77" s="8">
        <v>72.055546230000004</v>
      </c>
      <c r="I77" s="6">
        <v>29.405107829999999</v>
      </c>
      <c r="J77" s="4">
        <v>34.824705880000003</v>
      </c>
      <c r="K77">
        <v>7175</v>
      </c>
      <c r="L77">
        <v>5194</v>
      </c>
      <c r="M77">
        <v>4367</v>
      </c>
    </row>
    <row r="78" spans="1:13" x14ac:dyDescent="0.3">
      <c r="A78" t="s">
        <v>56</v>
      </c>
      <c r="B78">
        <v>348351</v>
      </c>
      <c r="C78">
        <v>217511</v>
      </c>
      <c r="D78">
        <v>351735</v>
      </c>
      <c r="E78">
        <v>690160</v>
      </c>
      <c r="F78">
        <v>23</v>
      </c>
      <c r="G78">
        <v>338402</v>
      </c>
      <c r="H78" s="8">
        <v>64.884507119999995</v>
      </c>
      <c r="I78" s="6">
        <v>6.7339091030000002</v>
      </c>
      <c r="J78" s="4">
        <v>20.475086189999999</v>
      </c>
      <c r="K78">
        <v>1234</v>
      </c>
      <c r="L78">
        <v>46767</v>
      </c>
      <c r="M78">
        <v>82839</v>
      </c>
    </row>
    <row r="79" spans="1:13" x14ac:dyDescent="0.3">
      <c r="A79" t="s">
        <v>20</v>
      </c>
      <c r="B79">
        <v>8715</v>
      </c>
      <c r="C79">
        <v>45</v>
      </c>
      <c r="D79">
        <v>5279</v>
      </c>
      <c r="E79">
        <v>8725</v>
      </c>
      <c r="F79">
        <v>0</v>
      </c>
      <c r="G79">
        <v>3446</v>
      </c>
      <c r="H79" s="8">
        <v>38.710778329999997</v>
      </c>
      <c r="I79" s="6">
        <v>1</v>
      </c>
      <c r="J79" s="4">
        <v>76.432428040000005</v>
      </c>
      <c r="K79">
        <v>7</v>
      </c>
      <c r="L79">
        <v>1144</v>
      </c>
      <c r="M79">
        <v>7519</v>
      </c>
    </row>
    <row r="80" spans="1:13" x14ac:dyDescent="0.3">
      <c r="A80" t="s">
        <v>65</v>
      </c>
      <c r="B80">
        <v>174028</v>
      </c>
      <c r="C80">
        <v>24639</v>
      </c>
      <c r="D80">
        <v>133274</v>
      </c>
      <c r="E80">
        <v>191301</v>
      </c>
      <c r="F80">
        <v>12</v>
      </c>
      <c r="G80">
        <v>58015</v>
      </c>
      <c r="H80" s="8">
        <v>59.9114395</v>
      </c>
      <c r="I80" s="6">
        <v>5.2108112120000003</v>
      </c>
      <c r="J80" s="4">
        <v>65.995281219999995</v>
      </c>
      <c r="K80">
        <v>281</v>
      </c>
      <c r="L80">
        <v>98546</v>
      </c>
      <c r="M80">
        <v>50562</v>
      </c>
    </row>
    <row r="81" spans="1:13" x14ac:dyDescent="0.3">
      <c r="A81" t="s">
        <v>70</v>
      </c>
      <c r="B81">
        <v>1845</v>
      </c>
      <c r="C81">
        <v>1</v>
      </c>
      <c r="D81">
        <v>902</v>
      </c>
      <c r="E81">
        <v>1847</v>
      </c>
      <c r="F81">
        <v>1</v>
      </c>
      <c r="G81">
        <v>944</v>
      </c>
      <c r="H81" s="8">
        <v>17.168313479999998</v>
      </c>
      <c r="I81" s="6">
        <v>1.153846154</v>
      </c>
      <c r="J81" s="4">
        <v>89.525093630000001</v>
      </c>
      <c r="K81">
        <v>0</v>
      </c>
      <c r="L81">
        <v>268</v>
      </c>
      <c r="M81">
        <v>1576</v>
      </c>
    </row>
    <row r="82" spans="1:13" x14ac:dyDescent="0.3">
      <c r="A82" t="s">
        <v>53</v>
      </c>
      <c r="B82">
        <v>2</v>
      </c>
      <c r="C82">
        <v>0</v>
      </c>
      <c r="D82">
        <v>1</v>
      </c>
      <c r="E82">
        <v>2</v>
      </c>
      <c r="F82">
        <v>0</v>
      </c>
      <c r="G82">
        <v>1</v>
      </c>
      <c r="H82" s="8">
        <v>18</v>
      </c>
      <c r="J82" s="4">
        <v>14</v>
      </c>
      <c r="K82">
        <v>0</v>
      </c>
      <c r="L82">
        <v>1</v>
      </c>
      <c r="M82">
        <v>1</v>
      </c>
    </row>
    <row r="83" spans="1:13" x14ac:dyDescent="0.3">
      <c r="A83" t="s">
        <v>27</v>
      </c>
      <c r="B83">
        <v>305</v>
      </c>
      <c r="C83">
        <v>0</v>
      </c>
      <c r="D83">
        <v>147</v>
      </c>
      <c r="E83">
        <v>305</v>
      </c>
      <c r="F83">
        <v>0</v>
      </c>
      <c r="G83">
        <v>158</v>
      </c>
      <c r="H83" s="8">
        <v>47.168316830000002</v>
      </c>
      <c r="I83" s="6">
        <v>6</v>
      </c>
      <c r="J83" s="4">
        <v>28.11295681</v>
      </c>
      <c r="K83">
        <v>0</v>
      </c>
      <c r="L83">
        <v>0</v>
      </c>
      <c r="M83">
        <v>305</v>
      </c>
    </row>
    <row r="84" spans="1:13" x14ac:dyDescent="0.3">
      <c r="A84" t="s">
        <v>13</v>
      </c>
      <c r="B84">
        <v>17202558</v>
      </c>
      <c r="C84">
        <v>6509586</v>
      </c>
      <c r="D84">
        <v>11403768</v>
      </c>
      <c r="E84">
        <v>20912276</v>
      </c>
      <c r="F84">
        <v>10014</v>
      </c>
      <c r="G84">
        <v>9498494</v>
      </c>
      <c r="H84" s="8">
        <v>54.365901800000003</v>
      </c>
      <c r="I84" s="6">
        <v>4.4609265929999999</v>
      </c>
      <c r="J84" s="4">
        <v>60.185758489999998</v>
      </c>
      <c r="K84">
        <v>1850874</v>
      </c>
      <c r="L84">
        <v>2455895</v>
      </c>
      <c r="M84">
        <v>6386203</v>
      </c>
    </row>
    <row r="85" spans="1:13" x14ac:dyDescent="0.3">
      <c r="A85" t="s">
        <v>16</v>
      </c>
      <c r="B85">
        <v>1065766</v>
      </c>
      <c r="C85">
        <v>299378</v>
      </c>
      <c r="D85">
        <v>626005</v>
      </c>
      <c r="E85">
        <v>1163609</v>
      </c>
      <c r="F85">
        <v>77</v>
      </c>
      <c r="G85">
        <v>537527</v>
      </c>
      <c r="H85" s="8">
        <v>57.083179119999997</v>
      </c>
      <c r="I85" s="6">
        <v>5.2002515120000004</v>
      </c>
      <c r="J85" s="4">
        <v>93.855783689999996</v>
      </c>
      <c r="K85">
        <v>5172</v>
      </c>
      <c r="L85">
        <v>29100</v>
      </c>
      <c r="M85">
        <v>732116</v>
      </c>
    </row>
    <row r="86" spans="1:13" x14ac:dyDescent="0.3">
      <c r="A86" t="s">
        <v>58</v>
      </c>
      <c r="B86">
        <v>77</v>
      </c>
      <c r="C86">
        <v>73</v>
      </c>
      <c r="D86">
        <v>144</v>
      </c>
      <c r="E86">
        <v>405</v>
      </c>
      <c r="F86">
        <v>0</v>
      </c>
      <c r="G86">
        <v>261</v>
      </c>
      <c r="H86" s="8">
        <v>57.653465349999998</v>
      </c>
      <c r="I86" s="6">
        <v>8.0941176469999991</v>
      </c>
      <c r="J86" s="4">
        <v>23</v>
      </c>
      <c r="K86">
        <v>3</v>
      </c>
      <c r="L86">
        <v>1</v>
      </c>
      <c r="M86">
        <v>0</v>
      </c>
    </row>
    <row r="87" spans="1:13" x14ac:dyDescent="0.3">
      <c r="A87" t="s">
        <v>15</v>
      </c>
      <c r="B87">
        <v>655445</v>
      </c>
      <c r="C87">
        <v>138408</v>
      </c>
      <c r="D87">
        <v>188273</v>
      </c>
      <c r="E87">
        <v>712016</v>
      </c>
      <c r="F87">
        <v>39</v>
      </c>
      <c r="G87">
        <v>523704</v>
      </c>
      <c r="H87" s="8">
        <v>60.75396113</v>
      </c>
      <c r="I87" s="6">
        <v>2.3962588070000002</v>
      </c>
      <c r="J87" s="4">
        <v>61.773350550000004</v>
      </c>
      <c r="K87">
        <v>2020</v>
      </c>
      <c r="L87">
        <v>106492</v>
      </c>
      <c r="M87">
        <v>408525</v>
      </c>
    </row>
    <row r="92" spans="1:13" x14ac:dyDescent="0.3">
      <c r="A92" s="9" t="s">
        <v>100</v>
      </c>
      <c r="B92" s="9" t="s">
        <v>99</v>
      </c>
      <c r="C92" t="s">
        <v>103</v>
      </c>
    </row>
    <row r="93" spans="1:13" x14ac:dyDescent="0.3">
      <c r="A93" s="10">
        <v>0</v>
      </c>
      <c r="B93" s="2">
        <v>0</v>
      </c>
      <c r="C93" s="2">
        <v>3</v>
      </c>
    </row>
    <row r="94" spans="1:13" x14ac:dyDescent="0.3">
      <c r="A94" s="10">
        <v>1</v>
      </c>
      <c r="B94" s="2">
        <v>2</v>
      </c>
      <c r="C94" s="2">
        <v>2</v>
      </c>
    </row>
    <row r="95" spans="1:13" x14ac:dyDescent="0.3">
      <c r="A95" s="10">
        <v>2</v>
      </c>
      <c r="B95" s="2">
        <v>14</v>
      </c>
      <c r="C95" s="2">
        <v>18</v>
      </c>
    </row>
    <row r="96" spans="1:13" x14ac:dyDescent="0.3">
      <c r="A96" s="10">
        <v>6</v>
      </c>
      <c r="B96" s="2">
        <v>9</v>
      </c>
      <c r="C96" s="2">
        <v>9</v>
      </c>
    </row>
    <row r="97" spans="1:3" x14ac:dyDescent="0.3">
      <c r="A97" s="10">
        <v>7</v>
      </c>
      <c r="B97" s="2">
        <v>12</v>
      </c>
      <c r="C97" s="2">
        <v>12</v>
      </c>
    </row>
    <row r="98" spans="1:3" x14ac:dyDescent="0.3">
      <c r="A98" s="10">
        <v>28</v>
      </c>
      <c r="B98" s="2">
        <v>62</v>
      </c>
      <c r="C98" s="2">
        <v>68</v>
      </c>
    </row>
    <row r="99" spans="1:3" x14ac:dyDescent="0.3">
      <c r="A99" s="10">
        <v>47</v>
      </c>
      <c r="B99" s="2">
        <v>68</v>
      </c>
      <c r="C99" s="2">
        <v>72</v>
      </c>
    </row>
    <row r="100" spans="1:3" x14ac:dyDescent="0.3">
      <c r="A100" s="10">
        <v>51</v>
      </c>
      <c r="B100" s="2">
        <v>30</v>
      </c>
      <c r="C100" s="2">
        <v>116</v>
      </c>
    </row>
    <row r="101" spans="1:3" x14ac:dyDescent="0.3">
      <c r="A101" s="10">
        <v>73</v>
      </c>
      <c r="B101" s="2">
        <v>177</v>
      </c>
      <c r="C101" s="2">
        <v>177</v>
      </c>
    </row>
    <row r="102" spans="1:3" x14ac:dyDescent="0.3">
      <c r="A102" s="10">
        <v>81</v>
      </c>
      <c r="B102" s="2">
        <v>184</v>
      </c>
      <c r="C102" s="2">
        <v>192</v>
      </c>
    </row>
    <row r="103" spans="1:3" x14ac:dyDescent="0.3">
      <c r="A103" s="10">
        <v>106</v>
      </c>
      <c r="B103" s="2">
        <v>531</v>
      </c>
      <c r="C103" s="2">
        <v>562</v>
      </c>
    </row>
    <row r="104" spans="1:3" x14ac:dyDescent="0.3">
      <c r="A104" s="10">
        <v>115</v>
      </c>
      <c r="B104" s="2">
        <v>165</v>
      </c>
      <c r="C104" s="2">
        <v>228</v>
      </c>
    </row>
    <row r="105" spans="1:3" x14ac:dyDescent="0.3">
      <c r="A105" s="10">
        <v>139</v>
      </c>
      <c r="B105" s="2">
        <v>81</v>
      </c>
      <c r="C105" s="2">
        <v>215</v>
      </c>
    </row>
    <row r="106" spans="1:3" x14ac:dyDescent="0.3">
      <c r="A106" s="10">
        <v>143</v>
      </c>
      <c r="B106" s="2">
        <v>258</v>
      </c>
      <c r="C106" s="2">
        <v>265</v>
      </c>
    </row>
    <row r="107" spans="1:3" x14ac:dyDescent="0.3">
      <c r="A107" s="10">
        <v>144</v>
      </c>
      <c r="B107" s="2">
        <v>77</v>
      </c>
      <c r="C107" s="2">
        <v>405</v>
      </c>
    </row>
    <row r="108" spans="1:3" x14ac:dyDescent="0.3">
      <c r="A108" s="10">
        <v>145</v>
      </c>
      <c r="B108" s="2">
        <v>200</v>
      </c>
      <c r="C108" s="2">
        <v>201</v>
      </c>
    </row>
    <row r="109" spans="1:3" x14ac:dyDescent="0.3">
      <c r="A109" s="10">
        <v>147</v>
      </c>
      <c r="B109" s="2">
        <v>305</v>
      </c>
      <c r="C109" s="2">
        <v>305</v>
      </c>
    </row>
    <row r="110" spans="1:3" x14ac:dyDescent="0.3">
      <c r="A110" s="10">
        <v>155</v>
      </c>
      <c r="B110" s="2">
        <v>170</v>
      </c>
      <c r="C110" s="2">
        <v>319</v>
      </c>
    </row>
    <row r="111" spans="1:3" x14ac:dyDescent="0.3">
      <c r="A111" s="10">
        <v>209</v>
      </c>
      <c r="B111" s="2">
        <v>459</v>
      </c>
      <c r="C111" s="2">
        <v>460</v>
      </c>
    </row>
    <row r="112" spans="1:3" x14ac:dyDescent="0.3">
      <c r="A112" s="10">
        <v>222</v>
      </c>
      <c r="B112" s="2">
        <v>486</v>
      </c>
      <c r="C112" s="2">
        <v>486</v>
      </c>
    </row>
    <row r="113" spans="1:3" x14ac:dyDescent="0.3">
      <c r="A113" s="10">
        <v>254</v>
      </c>
      <c r="B113" s="2">
        <v>421</v>
      </c>
      <c r="C113" s="2">
        <v>435</v>
      </c>
    </row>
    <row r="114" spans="1:3" x14ac:dyDescent="0.3">
      <c r="A114" s="10">
        <v>321</v>
      </c>
      <c r="B114" s="2">
        <v>515</v>
      </c>
      <c r="C114" s="2">
        <v>517</v>
      </c>
    </row>
    <row r="115" spans="1:3" x14ac:dyDescent="0.3">
      <c r="A115" s="10">
        <v>388</v>
      </c>
      <c r="B115" s="2">
        <v>548</v>
      </c>
      <c r="C115" s="2">
        <v>790</v>
      </c>
    </row>
    <row r="116" spans="1:3" x14ac:dyDescent="0.3">
      <c r="A116" s="10">
        <v>626</v>
      </c>
      <c r="B116" s="2">
        <v>1495</v>
      </c>
      <c r="C116" s="2">
        <v>2807</v>
      </c>
    </row>
    <row r="117" spans="1:3" x14ac:dyDescent="0.3">
      <c r="A117" s="10">
        <v>768</v>
      </c>
      <c r="B117" s="2">
        <v>1109</v>
      </c>
      <c r="C117" s="2">
        <v>1703</v>
      </c>
    </row>
    <row r="118" spans="1:3" x14ac:dyDescent="0.3">
      <c r="A118" s="10">
        <v>902</v>
      </c>
      <c r="B118" s="2">
        <v>1845</v>
      </c>
      <c r="C118" s="2">
        <v>1847</v>
      </c>
    </row>
    <row r="119" spans="1:3" x14ac:dyDescent="0.3">
      <c r="A119" s="10">
        <v>1255</v>
      </c>
      <c r="B119" s="2">
        <v>2522</v>
      </c>
      <c r="C119" s="2">
        <v>2525</v>
      </c>
    </row>
    <row r="120" spans="1:3" x14ac:dyDescent="0.3">
      <c r="A120" s="10">
        <v>1342</v>
      </c>
      <c r="B120" s="2">
        <v>2307</v>
      </c>
      <c r="C120" s="2">
        <v>2497</v>
      </c>
    </row>
    <row r="121" spans="1:3" x14ac:dyDescent="0.3">
      <c r="A121" s="10">
        <v>1416</v>
      </c>
      <c r="B121" s="2">
        <v>2486</v>
      </c>
      <c r="C121" s="2">
        <v>2546</v>
      </c>
    </row>
    <row r="122" spans="1:3" x14ac:dyDescent="0.3">
      <c r="A122" s="10">
        <v>1449</v>
      </c>
      <c r="B122" s="2">
        <v>2823</v>
      </c>
      <c r="C122" s="2">
        <v>2887</v>
      </c>
    </row>
    <row r="123" spans="1:3" x14ac:dyDescent="0.3">
      <c r="A123" s="10">
        <v>1781</v>
      </c>
      <c r="B123" s="2">
        <v>2255</v>
      </c>
      <c r="C123" s="2">
        <v>2264</v>
      </c>
    </row>
    <row r="124" spans="1:3" x14ac:dyDescent="0.3">
      <c r="A124" s="10">
        <v>1918</v>
      </c>
      <c r="B124" s="2">
        <v>2483</v>
      </c>
      <c r="C124" s="2">
        <v>3094</v>
      </c>
    </row>
    <row r="125" spans="1:3" x14ac:dyDescent="0.3">
      <c r="A125" s="10">
        <v>1954</v>
      </c>
      <c r="B125" s="2">
        <v>5297</v>
      </c>
      <c r="C125" s="2">
        <v>5517</v>
      </c>
    </row>
    <row r="126" spans="1:3" x14ac:dyDescent="0.3">
      <c r="A126" s="10">
        <v>2056</v>
      </c>
      <c r="B126" s="2">
        <v>3266</v>
      </c>
      <c r="C126" s="2">
        <v>3274</v>
      </c>
    </row>
    <row r="127" spans="1:3" x14ac:dyDescent="0.3">
      <c r="A127" s="10">
        <v>2125</v>
      </c>
      <c r="B127" s="2">
        <v>3765</v>
      </c>
      <c r="C127" s="2">
        <v>3793</v>
      </c>
    </row>
    <row r="128" spans="1:3" x14ac:dyDescent="0.3">
      <c r="A128" s="10">
        <v>2250</v>
      </c>
      <c r="B128" s="2">
        <v>1975</v>
      </c>
      <c r="C128" s="2">
        <v>3775</v>
      </c>
    </row>
    <row r="129" spans="1:3" x14ac:dyDescent="0.3">
      <c r="A129" s="10">
        <v>5126</v>
      </c>
      <c r="B129" s="2">
        <v>5703</v>
      </c>
      <c r="C129" s="2">
        <v>10477</v>
      </c>
    </row>
    <row r="130" spans="1:3" x14ac:dyDescent="0.3">
      <c r="A130" s="10">
        <v>5185</v>
      </c>
      <c r="B130" s="2">
        <v>5182</v>
      </c>
      <c r="C130" s="2">
        <v>10157</v>
      </c>
    </row>
    <row r="131" spans="1:3" x14ac:dyDescent="0.3">
      <c r="A131" s="10">
        <v>5225</v>
      </c>
      <c r="B131" s="2">
        <v>10845</v>
      </c>
      <c r="C131" s="2">
        <v>11833</v>
      </c>
    </row>
    <row r="132" spans="1:3" x14ac:dyDescent="0.3">
      <c r="A132" s="10">
        <v>5279</v>
      </c>
      <c r="B132" s="2">
        <v>8715</v>
      </c>
      <c r="C132" s="2">
        <v>8725</v>
      </c>
    </row>
    <row r="133" spans="1:3" x14ac:dyDescent="0.3">
      <c r="A133" s="10">
        <v>7233</v>
      </c>
      <c r="B133" s="2">
        <v>9623</v>
      </c>
      <c r="C133" s="2">
        <v>13343</v>
      </c>
    </row>
    <row r="134" spans="1:3" x14ac:dyDescent="0.3">
      <c r="A134" s="10">
        <v>7621</v>
      </c>
      <c r="B134" s="2">
        <v>13033</v>
      </c>
      <c r="C134" s="2">
        <v>16469</v>
      </c>
    </row>
    <row r="135" spans="1:3" x14ac:dyDescent="0.3">
      <c r="A135" s="10">
        <v>9897</v>
      </c>
      <c r="B135" s="2">
        <v>20952</v>
      </c>
      <c r="C135" s="2">
        <v>20974</v>
      </c>
    </row>
    <row r="136" spans="1:3" x14ac:dyDescent="0.3">
      <c r="A136" s="10">
        <v>12953</v>
      </c>
      <c r="B136" s="2">
        <v>17904</v>
      </c>
      <c r="C136" s="2">
        <v>22295</v>
      </c>
    </row>
    <row r="137" spans="1:3" x14ac:dyDescent="0.3">
      <c r="A137" s="10">
        <v>13466</v>
      </c>
      <c r="B137" s="2">
        <v>17491</v>
      </c>
      <c r="C137" s="2">
        <v>23232</v>
      </c>
    </row>
    <row r="138" spans="1:3" x14ac:dyDescent="0.3">
      <c r="A138" s="10">
        <v>14745</v>
      </c>
      <c r="B138" s="2">
        <v>27051</v>
      </c>
      <c r="C138" s="2">
        <v>27193</v>
      </c>
    </row>
    <row r="139" spans="1:3" x14ac:dyDescent="0.3">
      <c r="A139" s="10">
        <v>18347</v>
      </c>
      <c r="B139" s="2">
        <v>15025</v>
      </c>
      <c r="C139" s="2">
        <v>41144</v>
      </c>
    </row>
    <row r="140" spans="1:3" x14ac:dyDescent="0.3">
      <c r="A140" s="10">
        <v>20780</v>
      </c>
      <c r="B140" s="2">
        <v>55867</v>
      </c>
      <c r="C140" s="2">
        <v>61608</v>
      </c>
    </row>
    <row r="141" spans="1:3" x14ac:dyDescent="0.3">
      <c r="A141" s="10">
        <v>21798</v>
      </c>
      <c r="B141" s="2">
        <v>25300</v>
      </c>
      <c r="C141" s="2">
        <v>42069</v>
      </c>
    </row>
    <row r="142" spans="1:3" x14ac:dyDescent="0.3">
      <c r="A142" s="10">
        <v>22327</v>
      </c>
      <c r="B142" s="2">
        <v>24492</v>
      </c>
      <c r="C142" s="2">
        <v>47476</v>
      </c>
    </row>
    <row r="143" spans="1:3" x14ac:dyDescent="0.3">
      <c r="A143" s="10">
        <v>26413</v>
      </c>
      <c r="B143" s="2">
        <v>60775</v>
      </c>
      <c r="C143" s="2">
        <v>77245</v>
      </c>
    </row>
    <row r="144" spans="1:3" x14ac:dyDescent="0.3">
      <c r="A144" s="10">
        <v>26640</v>
      </c>
      <c r="B144" s="2">
        <v>58682</v>
      </c>
      <c r="C144" s="2">
        <v>62661</v>
      </c>
    </row>
    <row r="145" spans="1:3" x14ac:dyDescent="0.3">
      <c r="A145" s="10">
        <v>31000</v>
      </c>
      <c r="B145" s="2">
        <v>54041</v>
      </c>
      <c r="C145" s="2">
        <v>57699</v>
      </c>
    </row>
    <row r="146" spans="1:3" x14ac:dyDescent="0.3">
      <c r="A146" s="10">
        <v>35366</v>
      </c>
      <c r="B146" s="2">
        <v>54695</v>
      </c>
      <c r="C146" s="2">
        <v>77048</v>
      </c>
    </row>
    <row r="147" spans="1:3" x14ac:dyDescent="0.3">
      <c r="A147" s="10">
        <v>48886</v>
      </c>
      <c r="B147" s="2">
        <v>78216</v>
      </c>
      <c r="C147" s="2">
        <v>92503</v>
      </c>
    </row>
    <row r="148" spans="1:3" x14ac:dyDescent="0.3">
      <c r="A148" s="10">
        <v>51126</v>
      </c>
      <c r="B148" s="2">
        <v>86848</v>
      </c>
      <c r="C148" s="2">
        <v>105004</v>
      </c>
    </row>
    <row r="149" spans="1:3" x14ac:dyDescent="0.3">
      <c r="A149" s="10">
        <v>52071</v>
      </c>
      <c r="B149" s="2">
        <v>103285</v>
      </c>
      <c r="C149" s="2">
        <v>105304</v>
      </c>
    </row>
    <row r="150" spans="1:3" x14ac:dyDescent="0.3">
      <c r="A150" s="10">
        <v>72038</v>
      </c>
      <c r="B150" s="2">
        <v>148979</v>
      </c>
      <c r="C150" s="2">
        <v>149838</v>
      </c>
    </row>
    <row r="151" spans="1:3" x14ac:dyDescent="0.3">
      <c r="A151" s="10">
        <v>90145</v>
      </c>
      <c r="B151" s="2">
        <v>171969</v>
      </c>
      <c r="C151" s="2">
        <v>174716</v>
      </c>
    </row>
    <row r="152" spans="1:3" x14ac:dyDescent="0.3">
      <c r="A152" s="10">
        <v>99804</v>
      </c>
      <c r="B152" s="2">
        <v>149829</v>
      </c>
      <c r="C152" s="2">
        <v>179545</v>
      </c>
    </row>
    <row r="153" spans="1:3" x14ac:dyDescent="0.3">
      <c r="A153" s="10">
        <v>102753</v>
      </c>
      <c r="B153" s="2">
        <v>137792</v>
      </c>
      <c r="C153" s="2">
        <v>222531</v>
      </c>
    </row>
    <row r="154" spans="1:3" x14ac:dyDescent="0.3">
      <c r="A154" s="10">
        <v>119323</v>
      </c>
      <c r="B154" s="2">
        <v>263522</v>
      </c>
      <c r="C154" s="2">
        <v>269455</v>
      </c>
    </row>
    <row r="155" spans="1:3" x14ac:dyDescent="0.3">
      <c r="A155" s="10">
        <v>120846</v>
      </c>
      <c r="B155" s="2">
        <v>164098</v>
      </c>
      <c r="C155" s="2">
        <v>230359</v>
      </c>
    </row>
    <row r="156" spans="1:3" x14ac:dyDescent="0.3">
      <c r="A156" s="10">
        <v>124928</v>
      </c>
      <c r="B156" s="2">
        <v>183292</v>
      </c>
      <c r="C156" s="2">
        <v>198696</v>
      </c>
    </row>
    <row r="157" spans="1:3" x14ac:dyDescent="0.3">
      <c r="A157" s="10">
        <v>133274</v>
      </c>
      <c r="B157" s="2">
        <v>174028</v>
      </c>
      <c r="C157" s="2">
        <v>191301</v>
      </c>
    </row>
    <row r="158" spans="1:3" x14ac:dyDescent="0.3">
      <c r="A158" s="10">
        <v>135972</v>
      </c>
      <c r="B158" s="2">
        <v>155779</v>
      </c>
      <c r="C158" s="2">
        <v>263015</v>
      </c>
    </row>
    <row r="159" spans="1:3" x14ac:dyDescent="0.3">
      <c r="A159" s="10">
        <v>164117</v>
      </c>
      <c r="B159" s="2">
        <v>335277</v>
      </c>
      <c r="C159" s="2">
        <v>346776</v>
      </c>
    </row>
    <row r="160" spans="1:3" x14ac:dyDescent="0.3">
      <c r="A160" s="10">
        <v>188273</v>
      </c>
      <c r="B160" s="2">
        <v>655445</v>
      </c>
      <c r="C160" s="2">
        <v>712016</v>
      </c>
    </row>
    <row r="161" spans="1:3" x14ac:dyDescent="0.3">
      <c r="A161" s="10">
        <v>250707</v>
      </c>
      <c r="B161" s="2">
        <v>388654</v>
      </c>
      <c r="C161" s="2">
        <v>400374</v>
      </c>
    </row>
    <row r="162" spans="1:3" x14ac:dyDescent="0.3">
      <c r="A162" s="10">
        <v>252026</v>
      </c>
      <c r="B162" s="2">
        <v>409243</v>
      </c>
      <c r="C162" s="2">
        <v>427425</v>
      </c>
    </row>
    <row r="163" spans="1:3" x14ac:dyDescent="0.3">
      <c r="A163" s="10">
        <v>267274</v>
      </c>
      <c r="B163" s="2">
        <v>429253</v>
      </c>
      <c r="C163" s="2">
        <v>707777</v>
      </c>
    </row>
    <row r="164" spans="1:3" x14ac:dyDescent="0.3">
      <c r="A164" s="10">
        <v>278147</v>
      </c>
      <c r="B164" s="2">
        <v>299400</v>
      </c>
      <c r="C164" s="2">
        <v>307213</v>
      </c>
    </row>
    <row r="165" spans="1:3" x14ac:dyDescent="0.3">
      <c r="A165" s="10">
        <v>278886</v>
      </c>
      <c r="B165" s="2">
        <v>644822</v>
      </c>
      <c r="C165" s="2">
        <v>672073</v>
      </c>
    </row>
    <row r="166" spans="1:3" x14ac:dyDescent="0.3">
      <c r="A166" s="10">
        <v>351735</v>
      </c>
      <c r="B166" s="2">
        <v>348351</v>
      </c>
      <c r="C166" s="2">
        <v>690160</v>
      </c>
    </row>
    <row r="167" spans="1:3" x14ac:dyDescent="0.3">
      <c r="A167" s="10">
        <v>423619</v>
      </c>
      <c r="B167" s="2">
        <v>769227</v>
      </c>
      <c r="C167" s="2">
        <v>784586</v>
      </c>
    </row>
    <row r="168" spans="1:3" x14ac:dyDescent="0.3">
      <c r="A168" s="10">
        <v>429626</v>
      </c>
      <c r="B168" s="2">
        <v>776740</v>
      </c>
      <c r="C168" s="2">
        <v>782876</v>
      </c>
    </row>
    <row r="169" spans="1:3" x14ac:dyDescent="0.3">
      <c r="A169" s="10">
        <v>583672</v>
      </c>
      <c r="B169" s="2">
        <v>421087</v>
      </c>
      <c r="C169" s="2">
        <v>1044791</v>
      </c>
    </row>
    <row r="170" spans="1:3" x14ac:dyDescent="0.3">
      <c r="A170" s="10">
        <v>626005</v>
      </c>
      <c r="B170" s="2">
        <v>1065766</v>
      </c>
      <c r="C170" s="2">
        <v>1163609</v>
      </c>
    </row>
    <row r="171" spans="1:3" x14ac:dyDescent="0.3">
      <c r="A171" s="10">
        <v>701736</v>
      </c>
      <c r="B171" s="2">
        <v>1403182</v>
      </c>
      <c r="C171" s="2">
        <v>1500564</v>
      </c>
    </row>
    <row r="172" spans="1:3" x14ac:dyDescent="0.3">
      <c r="A172" s="10">
        <v>735136</v>
      </c>
      <c r="B172" s="2">
        <v>717466</v>
      </c>
      <c r="C172" s="2">
        <v>749276</v>
      </c>
    </row>
    <row r="173" spans="1:3" x14ac:dyDescent="0.3">
      <c r="A173" s="10">
        <v>748006</v>
      </c>
      <c r="B173" s="2">
        <v>1224422</v>
      </c>
      <c r="C173" s="2">
        <v>1488192</v>
      </c>
    </row>
    <row r="174" spans="1:3" x14ac:dyDescent="0.3">
      <c r="A174" s="10">
        <v>768843</v>
      </c>
      <c r="B174" s="2">
        <v>749446</v>
      </c>
      <c r="C174" s="2">
        <v>774035</v>
      </c>
    </row>
    <row r="175" spans="1:3" x14ac:dyDescent="0.3">
      <c r="A175" s="10">
        <v>1086628</v>
      </c>
      <c r="B175" s="2">
        <v>1848911</v>
      </c>
      <c r="C175" s="2">
        <v>2051633</v>
      </c>
    </row>
    <row r="176" spans="1:3" x14ac:dyDescent="0.3">
      <c r="A176" s="10">
        <v>1806137</v>
      </c>
      <c r="B176" s="2">
        <v>2374451</v>
      </c>
      <c r="C176" s="2">
        <v>3450599</v>
      </c>
    </row>
    <row r="177" spans="1:3" x14ac:dyDescent="0.3">
      <c r="A177" s="10">
        <v>11403768</v>
      </c>
      <c r="B177" s="2">
        <v>17202558</v>
      </c>
      <c r="C177" s="2">
        <v>20912276</v>
      </c>
    </row>
    <row r="178" spans="1:3" x14ac:dyDescent="0.3">
      <c r="A178" s="10" t="s">
        <v>101</v>
      </c>
      <c r="B178" s="2"/>
      <c r="C178" s="2"/>
    </row>
    <row r="179" spans="1:3" x14ac:dyDescent="0.3">
      <c r="A179" s="10" t="s">
        <v>102</v>
      </c>
      <c r="B179" s="2">
        <v>34405116</v>
      </c>
      <c r="C179" s="2">
        <v>41824552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Main Specialty Edited (hosp-epi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</dc:creator>
  <cp:lastModifiedBy>suyashdnaik24@gmail.com</cp:lastModifiedBy>
  <dcterms:created xsi:type="dcterms:W3CDTF">2025-12-18T16:40:44Z</dcterms:created>
  <dcterms:modified xsi:type="dcterms:W3CDTF">2025-12-18T18:32:03Z</dcterms:modified>
</cp:coreProperties>
</file>